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780" activeTab="2"/>
  </bookViews>
  <sheets>
    <sheet name="GZCL训练法的一些基本讲解" sheetId="1" r:id="rId1"/>
    <sheet name="UHF5周计划" sheetId="2" r:id="rId2"/>
    <sheet name="又黑又壮2.0" sheetId="3" r:id="rId3"/>
  </sheets>
  <definedNames>
    <definedName name="_xlnm.Print_Area" localSheetId="1">UHF5周计划!$C$59:$AB$110</definedName>
    <definedName name="_xlnm.Print_Area" localSheetId="2">又黑又壮2.0!$C$10:$AV$146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<sst xmlns="http://schemas.openxmlformats.org/spreadsheetml/2006/main" count="2328" uniqueCount="247">
  <si>
    <t>“+”：代表最后一组为AMRAP组，做到将近力竭为止。4X4+代表第四组如果可以的话，做完4下后再接着做。</t>
  </si>
  <si>
    <t>比赛深蹲VS辅助深蹲：比赛深蹲=自己最擅长的深蹲方式    辅助深蹲=第二擅长的深蹲方式（或者前蹲）</t>
  </si>
  <si>
    <t>比如：如果你最擅长低杠，想辅助蹲前蹲，那么辅助蹲就是前蹲。</t>
  </si>
  <si>
    <t>又黑又壮2.0要注意：</t>
  </si>
  <si>
    <t>选择好了你的辅助蹲之后就不要变！如果你辅助蹲是高杠的话，等计划走完了下一轮计划换前蹲没问题！</t>
  </si>
  <si>
    <t>就算你AMRAP和找RM时突破了自己的TM，也不要提高自己的TM！自己的TM只有两个时候可以提高。</t>
  </si>
  <si>
    <t>计划期间你选择好了的锻炼不能改变！</t>
  </si>
  <si>
    <t>一：第六周（非赛季部分的结尾测1RM之时）二：第十二周（赛季部分的结尾测1RM的时候）</t>
  </si>
  <si>
    <t>把每次的AMRAP次数和找到的RM重量都记得填下来，这样好你自己分析随着计划的增长，是否积累了太多疲劳。</t>
  </si>
  <si>
    <t>一级二级三级啥意思？请去电台去听我的GZCL训练法的技术讲解你就明白了！</t>
  </si>
  <si>
    <t>MRS=每一组都做到将近力竭为止。3MRS=做3组，每组做到差不多力竭（还剩1下的力量）</t>
  </si>
  <si>
    <t>不要用你真正的1RM来做这些计划！用“训练1RM”，即实际上你的2RM或者3RM。你要保证就算你状态不好，你也可以保证能用你设的“训练1RM”（俗称TM）完成一下。</t>
  </si>
  <si>
    <t xml:space="preserve">作者：Cody Lefever </t>
  </si>
  <si>
    <t>翻译：健力千</t>
  </si>
  <si>
    <t>欢迎大家光临我的健力资料库：直线健身贴吧以及健力洗脑中心（网易云音乐电台）</t>
  </si>
  <si>
    <t>无腿卧推 =把腿放到卧推凳上，不要碰地。</t>
  </si>
  <si>
    <t>超程硬拉=站在一个比平时要高的位置（站在重量片上，比如）硬拉。</t>
  </si>
  <si>
    <t>暂停硬拉=刚刚拉起在小腿肚位置暂停2秒，然后拉起。</t>
  </si>
  <si>
    <t>卧推=任何卧推应该由比赛方式完成，即在胸口有暂停。</t>
  </si>
  <si>
    <t>一级锻炼</t>
  </si>
  <si>
    <t>训练1RM</t>
  </si>
  <si>
    <t>训练1RM应该是真正1RM的95%。</t>
  </si>
  <si>
    <t>二级辅助</t>
  </si>
  <si>
    <t>一级锻炼的辅助</t>
  </si>
  <si>
    <t>Max</t>
  </si>
  <si>
    <t>一级锻炼应该都是比赛锻炼</t>
  </si>
  <si>
    <t>弹弓卧推和窄距卧推算一级锻炼，因为可以用比赛卧推的百分比来计算；上斜卧推并不能。</t>
  </si>
  <si>
    <t>比赛深蹲</t>
  </si>
  <si>
    <t>除非是杠铃推举或是其他比赛锻炼的变式</t>
  </si>
  <si>
    <t>上斜卧推</t>
  </si>
  <si>
    <t>二级辅助的选择：</t>
  </si>
  <si>
    <t>比赛卧推</t>
  </si>
  <si>
    <t>比如: 高杠深蹲, 窄距卧推</t>
  </si>
  <si>
    <t>高杠深蹲</t>
  </si>
  <si>
    <t>硬拉和背：引体向上或划船（竖向拉和横向拉锻炼）, 以及其他硬拉变种（暂停硬拉，超程硬拉）</t>
  </si>
  <si>
    <t>高杠深蹲可以被前蹲代替</t>
  </si>
  <si>
    <t>硬拉</t>
  </si>
  <si>
    <t>弹弓卧推, 超程硬拉</t>
  </si>
  <si>
    <t>上身推锻炼：上斜卧推,无腿卧推，哑铃卧推, 各种卧推变种。 杠铃推举的变种：哑铃推举、坐姿推举、等等。</t>
  </si>
  <si>
    <t>（如果你的比赛蹲就是高杠的话）</t>
  </si>
  <si>
    <t>杠铃推举</t>
  </si>
  <si>
    <t>这都是可以接受的一级锻炼</t>
  </si>
  <si>
    <t>比赛深蹲: 比赛深蹲的辅助，包括：高杠深蹲s, 箱蹲, 弓箭步、等等等等。</t>
  </si>
  <si>
    <r>
      <rPr>
        <b/>
        <u/>
        <sz val="12"/>
        <rFont val="等线"/>
        <charset val="134"/>
      </rPr>
      <t>Progression Table</t>
    </r>
    <r>
      <rPr>
        <i/>
        <u/>
        <sz val="12"/>
        <rFont val="等线"/>
        <charset val="134"/>
      </rPr>
      <t xml:space="preserve"> </t>
    </r>
    <r>
      <rPr>
        <i/>
        <u/>
        <sz val="10"/>
        <rFont val="等线"/>
        <charset val="134"/>
      </rPr>
      <t>(Percentage of Training Max)</t>
    </r>
  </si>
  <si>
    <t>注：某些一级锻炼是可以当二级辅助练的。但是二级辅助永远不能当一级锻炼做。</t>
  </si>
  <si>
    <t>第一周</t>
  </si>
  <si>
    <t>第二周</t>
  </si>
  <si>
    <t>第三周</t>
  </si>
  <si>
    <t>第四周</t>
  </si>
  <si>
    <t>第五周</t>
  </si>
  <si>
    <t>从</t>
  </si>
  <si>
    <t>Enter as decimal</t>
  </si>
  <si>
    <t>到</t>
  </si>
  <si>
    <t>(Ex: .85 = 85%)</t>
  </si>
  <si>
    <t>第一级</t>
  </si>
  <si>
    <t>主项</t>
  </si>
  <si>
    <t>%</t>
  </si>
  <si>
    <t>第一天</t>
  </si>
  <si>
    <t>第二天</t>
  </si>
  <si>
    <t>第三天</t>
  </si>
  <si>
    <t>超程硬拉</t>
  </si>
  <si>
    <t>第四天</t>
  </si>
  <si>
    <t>弹弓卧推</t>
  </si>
  <si>
    <t>第五天</t>
  </si>
  <si>
    <t>第六天</t>
  </si>
  <si>
    <t>休息</t>
  </si>
  <si>
    <t>第七天</t>
  </si>
  <si>
    <t>第二级</t>
  </si>
  <si>
    <t>暂停比赛深蹲</t>
  </si>
  <si>
    <t>无腿卧推</t>
  </si>
  <si>
    <t>暂停硬拉</t>
  </si>
  <si>
    <t>窄距卧推</t>
  </si>
  <si>
    <t>三级辅助训练原则</t>
  </si>
  <si>
    <t>需要注意：</t>
  </si>
  <si>
    <t>第一二周</t>
  </si>
  <si>
    <t>三四组内做到重量最重的12-15次一组；一旦达到了这个最重的极限，刚刚测试的这一组为第一组；用这个重量再做4组。</t>
  </si>
  <si>
    <t>(+)</t>
  </si>
  <si>
    <t>代表最后一组为AMRAP组，做到将近力竭为止。4X4+代表第四组如果可以的话，做完4下后再接着做。</t>
  </si>
  <si>
    <t>第三四周</t>
  </si>
  <si>
    <t>三四组内做到重量最重的12-15次一组；一旦达到了这个最重的极限，刚刚测试的这一组为第一组；用这个重量再做3组。</t>
  </si>
  <si>
    <t>“假”力竭</t>
  </si>
  <si>
    <t>不要真正的力竭；任何时候保持至少能再做1下的精力，真力竭会导致恢复很困难，这个计划已经够困难的了。</t>
  </si>
  <si>
    <t>第五六周</t>
  </si>
  <si>
    <t>三四组内做到重量最重的12-15次一组；一旦达到了这个最重的极限，刚刚测试的这一组为第一组；用这个重量再做2组。</t>
  </si>
  <si>
    <t>状态不好？</t>
  </si>
  <si>
    <t>一级锻炼和二级辅助就不要尽全力了，能少做就少做，下一周再补回来。</t>
  </si>
  <si>
    <t>第七八周</t>
  </si>
  <si>
    <t>三四组内做到重量最重的12-15次一组；一旦达到了这个最重的极限，刚刚测试的这一组为第一组；用这个重量再做1组。</t>
  </si>
  <si>
    <t>三级辅助各少做1-2组；下一周再补回来。</t>
  </si>
  <si>
    <t>第九周</t>
  </si>
  <si>
    <t>三四组内做到重量最重的12-15次一组；一旦达到了这个最重的极限，刚刚测试的这一组为第一组，做完第一组就别做了。</t>
  </si>
  <si>
    <t>健身房之外：</t>
  </si>
  <si>
    <t>多吃、多睡、多拉伸。</t>
  </si>
  <si>
    <t>三级辅助案例: Wk 1, Day 1, T3a "二头肌锻炼": Warming up, 组数 one is 45 lb. x 15 could have done 5+ more 次数s, go up to 55 lb. on 组数 two and get another 15 次数s with a 2-3 left in the tank add 5 lb. for 组数 three and get 60 lb. x 14 次数s that is the first 组数 perform 4 more 组数s with 60 lb. doing max 次数s for each following 组数.</t>
  </si>
  <si>
    <t>训练计划</t>
  </si>
  <si>
    <t>组间休息</t>
  </si>
  <si>
    <t>一级</t>
  </si>
  <si>
    <t>3-5分钟。</t>
  </si>
  <si>
    <t>级别</t>
  </si>
  <si>
    <t>锻炼</t>
  </si>
  <si>
    <t>重量</t>
  </si>
  <si>
    <t>次数</t>
  </si>
  <si>
    <t>组数</t>
  </si>
  <si>
    <t>二级</t>
  </si>
  <si>
    <t>2-3分钟。</t>
  </si>
  <si>
    <t>3+</t>
  </si>
  <si>
    <t>4+</t>
  </si>
  <si>
    <t>5+</t>
  </si>
  <si>
    <t>三级</t>
  </si>
  <si>
    <t>60秒-90秒。</t>
  </si>
  <si>
    <t>划船锻炼（杠铃或哑铃）</t>
  </si>
  <si>
    <t>?</t>
  </si>
  <si>
    <t>二头肌锻炼</t>
  </si>
  <si>
    <t>腘绳肌锻炼</t>
  </si>
  <si>
    <t>7+</t>
  </si>
  <si>
    <t>10+</t>
  </si>
  <si>
    <t>坐姿哑铃推举</t>
  </si>
  <si>
    <t>哑铃侧平举</t>
  </si>
  <si>
    <t>胸肌锻炼（机器）</t>
  </si>
  <si>
    <t>引体向上</t>
  </si>
  <si>
    <t>山羊挺身</t>
  </si>
  <si>
    <t>面拉</t>
  </si>
  <si>
    <t xml:space="preserve">宽握上斜卧推 </t>
  </si>
  <si>
    <t>双臂屈伸</t>
  </si>
  <si>
    <t>三头肌锻炼</t>
  </si>
  <si>
    <t>直腿硬拉</t>
  </si>
  <si>
    <t>哑铃弓箭步</t>
  </si>
  <si>
    <t>背部锻炼</t>
  </si>
  <si>
    <t>Tier</t>
  </si>
  <si>
    <t>(Training Max is an estimated daily 2RM.)</t>
  </si>
  <si>
    <t>T1 Movements</t>
  </si>
  <si>
    <t>Training</t>
  </si>
  <si>
    <t>T2 Accessories</t>
  </si>
  <si>
    <t>T1 Movements should be competition lifts.</t>
  </si>
  <si>
    <r>
      <rPr>
        <b/>
        <sz val="12"/>
        <color theme="1"/>
        <rFont val="等线"/>
        <charset val="134"/>
      </rPr>
      <t>Exceptions:</t>
    </r>
    <r>
      <rPr>
        <i/>
        <sz val="12"/>
        <color theme="1"/>
        <rFont val="等线"/>
        <charset val="134"/>
      </rPr>
      <t xml:space="preserve"> </t>
    </r>
    <r>
      <rPr>
        <sz val="11"/>
        <color theme="1"/>
        <rFont val="等线"/>
        <charset val="134"/>
      </rPr>
      <t>Any close variation of a competition lift.</t>
    </r>
  </si>
  <si>
    <t>卧推</t>
  </si>
  <si>
    <t>辅助深蹲</t>
  </si>
  <si>
    <t>Examples: 辅助深蹲, 窄距卧推, opposite DL.</t>
  </si>
  <si>
    <t>弹弓卧推, High Bar, Low Bar, etc.</t>
  </si>
  <si>
    <t>直立杠铃推举</t>
  </si>
  <si>
    <t>Week One</t>
  </si>
  <si>
    <t>Week Two</t>
  </si>
  <si>
    <t>Week Three</t>
  </si>
  <si>
    <t>Week Four</t>
  </si>
  <si>
    <t>Week Five</t>
  </si>
  <si>
    <t>Week Six</t>
  </si>
  <si>
    <t>Week Seven</t>
  </si>
  <si>
    <t>Week Eight</t>
  </si>
  <si>
    <t>Week Nine</t>
  </si>
  <si>
    <t>Week Ten</t>
  </si>
  <si>
    <t>Week Eleven</t>
  </si>
  <si>
    <t>Week 12</t>
  </si>
  <si>
    <t>From</t>
  </si>
  <si>
    <t>To</t>
  </si>
  <si>
    <t>A方块</t>
  </si>
  <si>
    <t>B方块</t>
  </si>
  <si>
    <t>C方块</t>
  </si>
  <si>
    <t>D方块</t>
  </si>
  <si>
    <t>Tier 1</t>
  </si>
  <si>
    <t>Movement</t>
  </si>
  <si>
    <t>Day One</t>
  </si>
  <si>
    <t>Day Two</t>
  </si>
  <si>
    <t>Day Three</t>
  </si>
  <si>
    <t>Day Four</t>
  </si>
  <si>
    <t>Day Five</t>
  </si>
  <si>
    <t>Day Six</t>
  </si>
  <si>
    <t>Day Seven</t>
  </si>
  <si>
    <t>Tier 2</t>
  </si>
  <si>
    <t>休息，不做二级辅助</t>
  </si>
  <si>
    <t>Push Press</t>
  </si>
  <si>
    <t>你的10RM或8RM或6RM组做完后（可以通过RM计算器预测一个重量，或者自己慢慢找，保证不是你真正的10RM或8RM就够了并且不会精疲力竭），记得一级锻炼结尾还要AMRAP哦！</t>
  </si>
  <si>
    <t>执行第二部分时，找6,5,4,3,2RM时要更加准确了，热身组要小心确定重量不要太重，保证找到的RM足够准确。</t>
  </si>
  <si>
    <t>AMRAP的目标一般是原本次数的两倍；如果你感觉不好的话就不要AMRAP，按照要求次数昨晚就够了。</t>
  </si>
  <si>
    <t>&lt;&lt;&lt;非赛季部分/ 赛季部分 &gt;&gt;&gt;</t>
  </si>
  <si>
    <t>如果状态不好，不要追求AMRAP。</t>
  </si>
  <si>
    <t>Week 1</t>
  </si>
  <si>
    <t>Week 2</t>
  </si>
  <si>
    <t>Week 3</t>
  </si>
  <si>
    <t>Week 4</t>
  </si>
  <si>
    <t>Week 5</t>
  </si>
  <si>
    <t>Week 6</t>
  </si>
  <si>
    <t>一级锻炼1RM测试</t>
  </si>
  <si>
    <t>Week 7</t>
  </si>
  <si>
    <t>Week 8</t>
  </si>
  <si>
    <t>Week 9</t>
  </si>
  <si>
    <t>Week 10</t>
  </si>
  <si>
    <t>Week 11</t>
  </si>
  <si>
    <t>二级锻炼deload</t>
  </si>
  <si>
    <t>找到10RM</t>
  </si>
  <si>
    <t>找到8RM</t>
  </si>
  <si>
    <t>找到6RM</t>
  </si>
  <si>
    <t>找到4RM</t>
  </si>
  <si>
    <t>找到2RM</t>
  </si>
  <si>
    <t>找到1RM</t>
  </si>
  <si>
    <t>找到5RM</t>
  </si>
  <si>
    <t>找到3RM</t>
  </si>
  <si>
    <t>RM:</t>
  </si>
  <si>
    <t>AMRAP:</t>
  </si>
  <si>
    <t>2a</t>
  </si>
  <si>
    <t>2b</t>
  </si>
  <si>
    <t>腿举（机器）</t>
  </si>
  <si>
    <t>3MRS</t>
  </si>
  <si>
    <t>不做其他二级辅助</t>
  </si>
  <si>
    <t>2c</t>
  </si>
  <si>
    <t>划船（哑铃或杠铃）</t>
  </si>
  <si>
    <t>休息，不做三级辅助</t>
  </si>
  <si>
    <t>3a</t>
  </si>
  <si>
    <t>坐姿绳索划船</t>
  </si>
  <si>
    <t>3b</t>
  </si>
  <si>
    <t xml:space="preserve"> 休息，不做三级辅助</t>
  </si>
  <si>
    <t>3c</t>
  </si>
  <si>
    <t>其他腿部锻炼</t>
  </si>
  <si>
    <t>3d</t>
  </si>
  <si>
    <t>侧平举（哑铃或机器）</t>
  </si>
  <si>
    <t>窄距绳索下拉</t>
  </si>
  <si>
    <t>绳索下拉</t>
  </si>
  <si>
    <t>宽距绳索下拉</t>
  </si>
  <si>
    <t>4MRS</t>
  </si>
  <si>
    <t>找到7RM</t>
  </si>
  <si>
    <t>1MRS</t>
  </si>
  <si>
    <t>1RM:</t>
  </si>
  <si>
    <t>MRS:</t>
  </si>
  <si>
    <t>哑铃卧推</t>
  </si>
  <si>
    <t>Rest</t>
  </si>
  <si>
    <t>一些建议</t>
  </si>
  <si>
    <t>T3 Progression Guide</t>
  </si>
  <si>
    <r>
      <rPr>
        <b/>
        <sz val="14"/>
        <rFont val="等线"/>
        <charset val="134"/>
      </rPr>
      <t>Example:</t>
    </r>
    <r>
      <rPr>
        <sz val="14"/>
        <rFont val="等线"/>
        <charset val="134"/>
      </rPr>
      <t xml:space="preserve"> (From the workout above)</t>
    </r>
  </si>
  <si>
    <t>(?)</t>
  </si>
  <si>
    <t>找到一个自己可以做要求的次数的重量（看UHF5周里对于三级辅助的建议）</t>
  </si>
  <si>
    <t>Means the lifter is to work up to heaviest 10 次数s. (Could be 15, 12, 10, 8)</t>
  </si>
  <si>
    <t>别傻真力竭：</t>
  </si>
  <si>
    <t>AMRAP的时候不要真力竭，在还有做1下的潜力时停止。</t>
  </si>
  <si>
    <t>Then complete 3 additional Max 次数 组数s (MRS) with that same 重量.</t>
  </si>
  <si>
    <t>累了？</t>
  </si>
  <si>
    <t>一级锻炼感觉太累？二级辅助几乎完成不了？这样吧：</t>
  </si>
  <si>
    <t>Do not push to failure. Always leave 1-2 次数s in the tank.</t>
  </si>
  <si>
    <t>感觉不好：</t>
  </si>
  <si>
    <t>一级锻炼每个只用做一组就够了，二级三级也是如此；第二天或者过两天感觉好了再完全恢复锻炼。</t>
  </si>
  <si>
    <t>Expect 次数 counts to drop as each 组数 progresses.</t>
  </si>
  <si>
    <t>解决疲劳：</t>
  </si>
  <si>
    <t>多睡，多吃，多拉伸。</t>
  </si>
  <si>
    <t>Attempt to beat T3 重量s and volumes when you're feeling good.</t>
  </si>
  <si>
    <t>休息：</t>
  </si>
  <si>
    <t>一级休息3-5分钟</t>
  </si>
  <si>
    <t>组间</t>
  </si>
  <si>
    <t>二级休息2-3分钟</t>
  </si>
  <si>
    <t>三级休息60-90秒。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</si>
</sst>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b/>
      <u/>
      <sz val="12"/>
      <name val="等线"/>
      <charset val="134"/>
      <scheme val="minor"/>
    </font>
    <font>
      <i/>
      <sz val="12"/>
      <color theme="1"/>
      <name val="等线"/>
      <charset val="134"/>
      <scheme val="minor"/>
    </font>
    <font>
      <b/>
      <u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rgb="FF0000FF"/>
      <name val="等线"/>
      <charset val="134"/>
      <scheme val="minor"/>
    </font>
    <font>
      <b/>
      <sz val="12"/>
      <color rgb="FF3366FF"/>
      <name val="等线"/>
      <charset val="134"/>
      <scheme val="minor"/>
    </font>
    <font>
      <i/>
      <sz val="12"/>
      <color theme="0" tint="-0.499984740745262"/>
      <name val="等线"/>
      <charset val="134"/>
      <scheme val="minor"/>
    </font>
    <font>
      <b/>
      <sz val="14"/>
      <name val="等线"/>
      <charset val="134"/>
      <scheme val="minor"/>
    </font>
    <font>
      <b/>
      <i/>
      <u/>
      <sz val="12"/>
      <color rgb="FFFF0000"/>
      <name val="等线"/>
      <charset val="134"/>
      <scheme val="minor"/>
    </font>
    <font>
      <u/>
      <sz val="12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i/>
      <u/>
      <sz val="12"/>
      <color rgb="FFFF6600"/>
      <name val="等线"/>
      <charset val="134"/>
      <scheme val="minor"/>
    </font>
    <font>
      <b/>
      <sz val="12"/>
      <color rgb="FFFF66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C00000"/>
      <name val="等线"/>
      <charset val="134"/>
      <scheme val="minor"/>
    </font>
    <font>
      <b/>
      <i/>
      <sz val="12"/>
      <color theme="4"/>
      <name val="等线"/>
      <charset val="134"/>
      <scheme val="minor"/>
    </font>
    <font>
      <b/>
      <i/>
      <sz val="12"/>
      <color theme="6" tint="-0.249977111117893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theme="0" tint="-0.499984740745262"/>
      <name val="等线"/>
      <charset val="134"/>
      <scheme val="minor"/>
    </font>
    <font>
      <b/>
      <sz val="12"/>
      <color theme="4"/>
      <name val="等线"/>
      <charset val="134"/>
      <scheme val="minor"/>
    </font>
    <font>
      <b/>
      <sz val="12"/>
      <color theme="9"/>
      <name val="等线"/>
      <charset val="134"/>
      <scheme val="minor"/>
    </font>
    <font>
      <b/>
      <sz val="12"/>
      <color theme="6"/>
      <name val="等线"/>
      <charset val="134"/>
      <scheme val="minor"/>
    </font>
    <font>
      <b/>
      <sz val="12"/>
      <color rgb="FF008000"/>
      <name val="等线"/>
      <charset val="134"/>
      <scheme val="minor"/>
    </font>
    <font>
      <b/>
      <i/>
      <sz val="12"/>
      <color rgb="FFFFC000"/>
      <name val="等线"/>
      <charset val="134"/>
      <scheme val="minor"/>
    </font>
    <font>
      <b/>
      <i/>
      <sz val="12"/>
      <name val="等线"/>
      <charset val="134"/>
      <scheme val="minor"/>
    </font>
    <font>
      <sz val="12"/>
      <color rgb="FFC00000"/>
      <name val="等线"/>
      <charset val="134"/>
      <scheme val="minor"/>
    </font>
    <font>
      <b/>
      <u/>
      <sz val="18"/>
      <color rgb="FFFF0000"/>
      <name val="等线"/>
      <charset val="134"/>
      <scheme val="minor"/>
    </font>
    <font>
      <b/>
      <u/>
      <sz val="18"/>
      <color theme="6" tint="0.599993896298105"/>
      <name val="等线"/>
      <charset val="134"/>
      <scheme val="minor"/>
    </font>
    <font>
      <u/>
      <sz val="12"/>
      <color theme="1"/>
      <name val="等线"/>
      <charset val="134"/>
      <scheme val="minor"/>
    </font>
    <font>
      <b/>
      <u/>
      <sz val="12"/>
      <color rgb="FF008000"/>
      <name val="等线"/>
      <charset val="134"/>
      <scheme val="minor"/>
    </font>
    <font>
      <b/>
      <sz val="11"/>
      <color rgb="FF2A2A2A"/>
      <name val="Verdan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2"/>
      <name val="等线"/>
      <charset val="134"/>
    </font>
    <font>
      <i/>
      <u/>
      <sz val="12"/>
      <name val="等线"/>
      <charset val="134"/>
    </font>
    <font>
      <i/>
      <u/>
      <sz val="10"/>
      <name val="等线"/>
      <charset val="134"/>
    </font>
    <font>
      <b/>
      <sz val="12"/>
      <color theme="1"/>
      <name val="等线"/>
      <charset val="134"/>
    </font>
    <font>
      <i/>
      <sz val="12"/>
      <color theme="1"/>
      <name val="等线"/>
      <charset val="134"/>
    </font>
    <font>
      <sz val="11"/>
      <color theme="1"/>
      <name val="等线"/>
      <charset val="134"/>
    </font>
    <font>
      <b/>
      <sz val="14"/>
      <name val="等线"/>
      <charset val="134"/>
    </font>
    <font>
      <sz val="14"/>
      <name val="等线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auto="1"/>
      </right>
      <top style="thin">
        <color theme="6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9" borderId="2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0" borderId="26" applyNumberFormat="0" applyAlignment="0" applyProtection="0">
      <alignment vertical="center"/>
    </xf>
    <xf numFmtId="0" fontId="45" fillId="21" borderId="27" applyNumberFormat="0" applyAlignment="0" applyProtection="0">
      <alignment vertical="center"/>
    </xf>
    <xf numFmtId="0" fontId="46" fillId="21" borderId="26" applyNumberFormat="0" applyAlignment="0" applyProtection="0">
      <alignment vertical="center"/>
    </xf>
    <xf numFmtId="0" fontId="47" fillId="22" borderId="28" applyNumberFormat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1" fillId="0" borderId="0" applyBorder="0"/>
  </cellStyleXfs>
  <cellXfs count="266">
    <xf numFmtId="0" fontId="0" fillId="0" borderId="0" xfId="0"/>
    <xf numFmtId="0" fontId="1" fillId="2" borderId="0" xfId="49" applyFill="1"/>
    <xf numFmtId="0" fontId="2" fillId="2" borderId="0" xfId="49" applyFont="1" applyFill="1" applyAlignment="1">
      <alignment horizontal="center"/>
    </xf>
    <xf numFmtId="0" fontId="3" fillId="2" borderId="0" xfId="49" applyFont="1" applyFill="1"/>
    <xf numFmtId="0" fontId="1" fillId="2" borderId="0" xfId="49" applyFill="1" applyAlignment="1">
      <alignment horizontal="center"/>
    </xf>
    <xf numFmtId="0" fontId="1" fillId="3" borderId="0" xfId="49" applyFill="1"/>
    <xf numFmtId="0" fontId="4" fillId="2" borderId="1" xfId="49" applyFont="1" applyFill="1" applyBorder="1"/>
    <xf numFmtId="0" fontId="2" fillId="2" borderId="2" xfId="49" applyFont="1" applyFill="1" applyBorder="1" applyAlignment="1">
      <alignment horizontal="center"/>
    </xf>
    <xf numFmtId="0" fontId="5" fillId="2" borderId="2" xfId="49" applyFont="1" applyFill="1" applyBorder="1" applyAlignment="1">
      <alignment horizontal="left"/>
    </xf>
    <xf numFmtId="0" fontId="1" fillId="2" borderId="2" xfId="49" applyFill="1" applyBorder="1" applyAlignment="1">
      <alignment horizontal="center"/>
    </xf>
    <xf numFmtId="0" fontId="1" fillId="2" borderId="2" xfId="49" applyFill="1" applyBorder="1"/>
    <xf numFmtId="0" fontId="3" fillId="2" borderId="2" xfId="49" applyFont="1" applyFill="1" applyBorder="1"/>
    <xf numFmtId="0" fontId="1" fillId="2" borderId="3" xfId="49" applyFill="1" applyBorder="1" applyAlignment="1">
      <alignment horizontal="center"/>
    </xf>
    <xf numFmtId="0" fontId="2" fillId="2" borderId="3" xfId="49" applyFont="1" applyFill="1" applyBorder="1" applyAlignment="1">
      <alignment horizontal="center"/>
    </xf>
    <xf numFmtId="0" fontId="5" fillId="2" borderId="0" xfId="49" applyFont="1" applyFill="1" applyAlignment="1">
      <alignment horizontal="left"/>
    </xf>
    <xf numFmtId="0" fontId="4" fillId="2" borderId="0" xfId="49" applyFont="1" applyFill="1"/>
    <xf numFmtId="0" fontId="2" fillId="2" borderId="0" xfId="49" applyFont="1" applyFill="1" applyAlignment="1">
      <alignment horizontal="left"/>
    </xf>
    <xf numFmtId="0" fontId="3" fillId="2" borderId="4" xfId="49" applyFont="1" applyFill="1" applyBorder="1"/>
    <xf numFmtId="0" fontId="6" fillId="2" borderId="0" xfId="49" applyFont="1" applyFill="1" applyAlignment="1">
      <alignment horizontal="center"/>
    </xf>
    <xf numFmtId="0" fontId="6" fillId="2" borderId="0" xfId="49" applyFont="1" applyFill="1" applyAlignment="1">
      <alignment horizontal="left"/>
    </xf>
    <xf numFmtId="0" fontId="1" fillId="2" borderId="0" xfId="49" applyFill="1" applyAlignment="1">
      <alignment horizontal="left"/>
    </xf>
    <xf numFmtId="0" fontId="1" fillId="2" borderId="5" xfId="49" applyFill="1" applyBorder="1" applyAlignment="1">
      <alignment horizontal="center"/>
    </xf>
    <xf numFmtId="0" fontId="6" fillId="2" borderId="5" xfId="49" applyFont="1" applyFill="1" applyBorder="1" applyAlignment="1">
      <alignment horizontal="center"/>
    </xf>
    <xf numFmtId="0" fontId="2" fillId="2" borderId="0" xfId="49" applyFont="1" applyFill="1" applyAlignment="1">
      <alignment horizontal="right"/>
    </xf>
    <xf numFmtId="0" fontId="7" fillId="2" borderId="4" xfId="49" applyFont="1" applyFill="1" applyBorder="1"/>
    <xf numFmtId="0" fontId="8" fillId="4" borderId="0" xfId="49" applyFont="1" applyFill="1" applyAlignment="1">
      <alignment horizontal="center"/>
    </xf>
    <xf numFmtId="0" fontId="5" fillId="2" borderId="0" xfId="49" applyFont="1" applyFill="1"/>
    <xf numFmtId="0" fontId="8" fillId="4" borderId="5" xfId="49" applyFont="1" applyFill="1" applyBorder="1" applyAlignment="1">
      <alignment horizontal="center"/>
    </xf>
    <xf numFmtId="0" fontId="8" fillId="2" borderId="0" xfId="49" applyFont="1" applyFill="1" applyAlignment="1">
      <alignment horizontal="center"/>
    </xf>
    <xf numFmtId="0" fontId="7" fillId="2" borderId="0" xfId="49" applyFont="1" applyFill="1"/>
    <xf numFmtId="0" fontId="1" fillId="2" borderId="0" xfId="49" applyFill="1" applyAlignment="1">
      <alignment horizontal="left" vertical="top"/>
    </xf>
    <xf numFmtId="0" fontId="7" fillId="2" borderId="6" xfId="49" applyFont="1" applyFill="1" applyBorder="1"/>
    <xf numFmtId="0" fontId="8" fillId="4" borderId="7" xfId="49" applyFont="1" applyFill="1" applyBorder="1" applyAlignment="1">
      <alignment horizontal="center"/>
    </xf>
    <xf numFmtId="0" fontId="1" fillId="2" borderId="7" xfId="49" applyFill="1" applyBorder="1" applyAlignment="1">
      <alignment horizontal="center"/>
    </xf>
    <xf numFmtId="0" fontId="1" fillId="2" borderId="7" xfId="49" applyFill="1" applyBorder="1"/>
    <xf numFmtId="0" fontId="3" fillId="2" borderId="7" xfId="49" applyFont="1" applyFill="1" applyBorder="1"/>
    <xf numFmtId="0" fontId="1" fillId="2" borderId="8" xfId="49" applyFill="1" applyBorder="1" applyAlignment="1">
      <alignment horizontal="center"/>
    </xf>
    <xf numFmtId="0" fontId="3" fillId="2" borderId="6" xfId="49" applyFont="1" applyFill="1" applyBorder="1"/>
    <xf numFmtId="0" fontId="8" fillId="4" borderId="8" xfId="49" applyFont="1" applyFill="1" applyBorder="1" applyAlignment="1">
      <alignment horizontal="center"/>
    </xf>
    <xf numFmtId="0" fontId="1" fillId="2" borderId="0" xfId="49" applyFill="1" applyAlignment="1">
      <alignment vertical="top"/>
    </xf>
    <xf numFmtId="0" fontId="1" fillId="2" borderId="0" xfId="49" applyFill="1" applyAlignment="1">
      <alignment horizontal="right"/>
    </xf>
    <xf numFmtId="0" fontId="2" fillId="2" borderId="0" xfId="49" applyFont="1" applyFill="1"/>
    <xf numFmtId="0" fontId="7" fillId="2" borderId="0" xfId="49" applyFont="1" applyFill="1" applyAlignment="1">
      <alignment horizontal="center"/>
    </xf>
    <xf numFmtId="14" fontId="9" fillId="4" borderId="0" xfId="49" applyNumberFormat="1" applyFont="1" applyFill="1" applyAlignment="1">
      <alignment horizontal="center"/>
    </xf>
    <xf numFmtId="14" fontId="10" fillId="2" borderId="0" xfId="49" applyNumberFormat="1" applyFont="1" applyFill="1" applyAlignment="1">
      <alignment horizontal="left"/>
    </xf>
    <xf numFmtId="14" fontId="1" fillId="2" borderId="0" xfId="49" applyNumberFormat="1" applyFill="1" applyAlignment="1">
      <alignment horizontal="center"/>
    </xf>
    <xf numFmtId="14" fontId="1" fillId="2" borderId="0" xfId="49" applyNumberFormat="1" applyFill="1"/>
    <xf numFmtId="14" fontId="7" fillId="2" borderId="0" xfId="49" applyNumberFormat="1" applyFont="1" applyFill="1" applyAlignment="1">
      <alignment horizontal="center"/>
    </xf>
    <xf numFmtId="14" fontId="1" fillId="2" borderId="0" xfId="49" applyNumberFormat="1" applyFill="1" applyAlignment="1">
      <alignment horizontal="left"/>
    </xf>
    <xf numFmtId="0" fontId="4" fillId="2" borderId="0" xfId="49" applyFont="1" applyFill="1" applyAlignment="1">
      <alignment horizontal="left" vertical="center"/>
    </xf>
    <xf numFmtId="0" fontId="11" fillId="5" borderId="9" xfId="49" applyFont="1" applyFill="1" applyBorder="1" applyAlignment="1">
      <alignment horizontal="center"/>
    </xf>
    <xf numFmtId="0" fontId="11" fillId="5" borderId="10" xfId="49" applyFont="1" applyFill="1" applyBorder="1" applyAlignment="1">
      <alignment horizontal="center"/>
    </xf>
    <xf numFmtId="0" fontId="11" fillId="5" borderId="11" xfId="49" applyFont="1" applyFill="1" applyBorder="1" applyAlignment="1">
      <alignment horizontal="center"/>
    </xf>
    <xf numFmtId="0" fontId="11" fillId="4" borderId="9" xfId="49" applyFont="1" applyFill="1" applyBorder="1" applyAlignment="1">
      <alignment horizontal="center"/>
    </xf>
    <xf numFmtId="0" fontId="11" fillId="4" borderId="10" xfId="49" applyFont="1" applyFill="1" applyBorder="1" applyAlignment="1">
      <alignment horizontal="center"/>
    </xf>
    <xf numFmtId="0" fontId="11" fillId="4" borderId="11" xfId="49" applyFont="1" applyFill="1" applyBorder="1" applyAlignment="1">
      <alignment horizontal="center"/>
    </xf>
    <xf numFmtId="0" fontId="11" fillId="6" borderId="9" xfId="49" applyFont="1" applyFill="1" applyBorder="1" applyAlignment="1">
      <alignment horizontal="center"/>
    </xf>
    <xf numFmtId="0" fontId="11" fillId="6" borderId="10" xfId="49" applyFont="1" applyFill="1" applyBorder="1" applyAlignment="1">
      <alignment horizontal="center"/>
    </xf>
    <xf numFmtId="0" fontId="11" fillId="6" borderId="11" xfId="49" applyFont="1" applyFill="1" applyBorder="1" applyAlignment="1">
      <alignment horizontal="center"/>
    </xf>
    <xf numFmtId="0" fontId="11" fillId="7" borderId="9" xfId="49" applyFont="1" applyFill="1" applyBorder="1"/>
    <xf numFmtId="0" fontId="11" fillId="7" borderId="10" xfId="49" applyFont="1" applyFill="1" applyBorder="1"/>
    <xf numFmtId="0" fontId="11" fillId="7" borderId="11" xfId="49" applyFont="1" applyFill="1" applyBorder="1"/>
    <xf numFmtId="0" fontId="11" fillId="2" borderId="0" xfId="49" applyFont="1" applyFill="1"/>
    <xf numFmtId="0" fontId="12" fillId="2" borderId="1" xfId="49" applyFont="1" applyFill="1" applyBorder="1"/>
    <xf numFmtId="0" fontId="2" fillId="8" borderId="1" xfId="49" applyFont="1" applyFill="1" applyBorder="1" applyAlignment="1">
      <alignment horizontal="center"/>
    </xf>
    <xf numFmtId="0" fontId="13" fillId="2" borderId="1" xfId="49" applyFont="1" applyFill="1" applyBorder="1" applyAlignment="1">
      <alignment horizontal="center"/>
    </xf>
    <xf numFmtId="0" fontId="6" fillId="9" borderId="12" xfId="49" applyFont="1" applyFill="1" applyBorder="1" applyAlignment="1">
      <alignment horizontal="center"/>
    </xf>
    <xf numFmtId="0" fontId="13" fillId="2" borderId="2" xfId="49" applyFont="1" applyFill="1" applyBorder="1" applyAlignment="1">
      <alignment horizontal="center"/>
    </xf>
    <xf numFmtId="0" fontId="6" fillId="9" borderId="1" xfId="49" applyFont="1" applyFill="1" applyBorder="1" applyAlignment="1">
      <alignment horizontal="center"/>
    </xf>
    <xf numFmtId="0" fontId="1" fillId="2" borderId="1" xfId="49" applyFill="1" applyBorder="1" applyAlignment="1">
      <alignment horizontal="center"/>
    </xf>
    <xf numFmtId="0" fontId="1" fillId="2" borderId="4" xfId="49" applyFill="1" applyBorder="1" applyAlignment="1">
      <alignment horizontal="center"/>
    </xf>
    <xf numFmtId="0" fontId="2" fillId="2" borderId="13" xfId="49" applyFont="1" applyFill="1" applyBorder="1" applyAlignment="1">
      <alignment horizontal="right"/>
    </xf>
    <xf numFmtId="0" fontId="14" fillId="8" borderId="4" xfId="49" applyFont="1" applyFill="1" applyBorder="1" applyAlignment="1">
      <alignment horizontal="center"/>
    </xf>
    <xf numFmtId="0" fontId="3" fillId="2" borderId="4" xfId="49" applyFont="1" applyFill="1" applyBorder="1" applyAlignment="1">
      <alignment horizontal="center"/>
    </xf>
    <xf numFmtId="0" fontId="1" fillId="9" borderId="13" xfId="49" applyFill="1" applyBorder="1" applyAlignment="1">
      <alignment horizontal="center"/>
    </xf>
    <xf numFmtId="0" fontId="3" fillId="2" borderId="0" xfId="49" applyFont="1" applyFill="1" applyAlignment="1">
      <alignment horizontal="center"/>
    </xf>
    <xf numFmtId="0" fontId="2" fillId="2" borderId="4" xfId="49" applyFont="1" applyFill="1" applyBorder="1" applyAlignment="1">
      <alignment horizontal="center"/>
    </xf>
    <xf numFmtId="0" fontId="2" fillId="2" borderId="14" xfId="49" applyFont="1" applyFill="1" applyBorder="1" applyAlignment="1">
      <alignment horizontal="right"/>
    </xf>
    <xf numFmtId="0" fontId="14" fillId="8" borderId="6" xfId="49" applyFont="1" applyFill="1" applyBorder="1" applyAlignment="1">
      <alignment horizontal="center"/>
    </xf>
    <xf numFmtId="0" fontId="3" fillId="2" borderId="6" xfId="49" applyFont="1" applyFill="1" applyBorder="1" applyAlignment="1">
      <alignment horizontal="center"/>
    </xf>
    <xf numFmtId="0" fontId="1" fillId="9" borderId="14" xfId="49" applyFill="1" applyBorder="1" applyAlignment="1">
      <alignment horizontal="center"/>
    </xf>
    <xf numFmtId="0" fontId="2" fillId="2" borderId="7" xfId="49" applyFont="1" applyFill="1" applyBorder="1" applyAlignment="1">
      <alignment horizontal="center"/>
    </xf>
    <xf numFmtId="0" fontId="3" fillId="2" borderId="7" xfId="49" applyFont="1" applyFill="1" applyBorder="1" applyAlignment="1">
      <alignment horizontal="center"/>
    </xf>
    <xf numFmtId="0" fontId="2" fillId="2" borderId="6" xfId="49" applyFont="1" applyFill="1" applyBorder="1" applyAlignment="1">
      <alignment horizontal="center"/>
    </xf>
    <xf numFmtId="0" fontId="3" fillId="2" borderId="8" xfId="49" applyFont="1" applyFill="1" applyBorder="1" applyAlignment="1">
      <alignment horizontal="center"/>
    </xf>
    <xf numFmtId="0" fontId="1" fillId="2" borderId="6" xfId="49" applyFill="1" applyBorder="1" applyAlignment="1">
      <alignment horizontal="center"/>
    </xf>
    <xf numFmtId="0" fontId="15" fillId="2" borderId="13" xfId="49" applyFont="1" applyFill="1" applyBorder="1" applyAlignment="1">
      <alignment horizontal="left"/>
    </xf>
    <xf numFmtId="0" fontId="3" fillId="2" borderId="4" xfId="49" applyFont="1" applyFill="1" applyBorder="1" applyAlignment="1">
      <alignment horizontal="right"/>
    </xf>
    <xf numFmtId="0" fontId="3" fillId="2" borderId="0" xfId="49" applyFont="1" applyFill="1" applyAlignment="1">
      <alignment horizontal="right"/>
    </xf>
    <xf numFmtId="0" fontId="16" fillId="8" borderId="4" xfId="49" applyFont="1" applyFill="1" applyBorder="1" applyAlignment="1">
      <alignment horizontal="center"/>
    </xf>
    <xf numFmtId="0" fontId="16" fillId="8" borderId="6" xfId="49" applyFont="1" applyFill="1" applyBorder="1" applyAlignment="1">
      <alignment horizontal="center"/>
    </xf>
    <xf numFmtId="0" fontId="1" fillId="9" borderId="12" xfId="49" applyFill="1" applyBorder="1" applyAlignment="1">
      <alignment horizontal="center"/>
    </xf>
    <xf numFmtId="0" fontId="17" fillId="10" borderId="13" xfId="49" applyFont="1" applyFill="1" applyBorder="1" applyAlignment="1">
      <alignment horizontal="center"/>
    </xf>
    <xf numFmtId="0" fontId="17" fillId="11" borderId="0" xfId="49" applyFont="1" applyFill="1" applyAlignment="1">
      <alignment horizontal="center"/>
    </xf>
    <xf numFmtId="0" fontId="17" fillId="11" borderId="0" xfId="49" applyFont="1" applyFill="1"/>
    <xf numFmtId="0" fontId="17" fillId="10" borderId="12" xfId="49" applyFont="1" applyFill="1" applyBorder="1" applyAlignment="1">
      <alignment horizontal="center"/>
    </xf>
    <xf numFmtId="0" fontId="17" fillId="10" borderId="4" xfId="49" applyFont="1" applyFill="1" applyBorder="1" applyAlignment="1">
      <alignment horizontal="center"/>
    </xf>
    <xf numFmtId="0" fontId="1" fillId="9" borderId="6" xfId="49" applyFill="1" applyBorder="1" applyAlignment="1">
      <alignment horizontal="center"/>
    </xf>
    <xf numFmtId="0" fontId="1" fillId="9" borderId="4" xfId="49" applyFill="1" applyBorder="1" applyAlignment="1">
      <alignment horizontal="center"/>
    </xf>
    <xf numFmtId="0" fontId="3" fillId="2" borderId="13" xfId="49" applyFont="1" applyFill="1" applyBorder="1" applyAlignment="1">
      <alignment horizontal="center"/>
    </xf>
    <xf numFmtId="0" fontId="3" fillId="2" borderId="5" xfId="49" applyFont="1" applyFill="1" applyBorder="1" applyAlignment="1">
      <alignment horizontal="center"/>
    </xf>
    <xf numFmtId="0" fontId="3" fillId="2" borderId="14" xfId="49" applyFont="1" applyFill="1" applyBorder="1" applyAlignment="1">
      <alignment horizontal="center"/>
    </xf>
    <xf numFmtId="0" fontId="16" fillId="2" borderId="0" xfId="49" applyFont="1" applyFill="1" applyAlignment="1">
      <alignment horizontal="center"/>
    </xf>
    <xf numFmtId="0" fontId="18" fillId="12" borderId="1" xfId="49" applyFont="1" applyFill="1" applyBorder="1" applyAlignment="1">
      <alignment horizontal="center"/>
    </xf>
    <xf numFmtId="0" fontId="18" fillId="12" borderId="2" xfId="49" applyFont="1" applyFill="1" applyBorder="1" applyAlignment="1">
      <alignment horizontal="center"/>
    </xf>
    <xf numFmtId="0" fontId="18" fillId="12" borderId="3" xfId="49" applyFont="1" applyFill="1" applyBorder="1" applyAlignment="1">
      <alignment horizontal="center"/>
    </xf>
    <xf numFmtId="0" fontId="18" fillId="12" borderId="1" xfId="49" applyFont="1" applyFill="1" applyBorder="1"/>
    <xf numFmtId="0" fontId="18" fillId="12" borderId="2" xfId="49" applyFont="1" applyFill="1" applyBorder="1"/>
    <xf numFmtId="0" fontId="18" fillId="12" borderId="3" xfId="49" applyFont="1" applyFill="1" applyBorder="1"/>
    <xf numFmtId="0" fontId="19" fillId="12" borderId="6" xfId="49" applyFont="1" applyFill="1" applyBorder="1" applyAlignment="1">
      <alignment horizontal="center"/>
    </xf>
    <xf numFmtId="0" fontId="19" fillId="12" borderId="7" xfId="49" applyFont="1" applyFill="1" applyBorder="1" applyAlignment="1">
      <alignment horizontal="center"/>
    </xf>
    <xf numFmtId="0" fontId="19" fillId="12" borderId="8" xfId="49" applyFont="1" applyFill="1" applyBorder="1" applyAlignment="1">
      <alignment horizontal="center"/>
    </xf>
    <xf numFmtId="0" fontId="20" fillId="2" borderId="0" xfId="49" applyFont="1" applyFill="1"/>
    <xf numFmtId="0" fontId="21" fillId="2" borderId="0" xfId="49" applyFont="1" applyFill="1" applyAlignment="1">
      <alignment horizontal="center"/>
    </xf>
    <xf numFmtId="0" fontId="19" fillId="12" borderId="6" xfId="49" applyFont="1" applyFill="1" applyBorder="1"/>
    <xf numFmtId="0" fontId="19" fillId="12" borderId="7" xfId="49" applyFont="1" applyFill="1" applyBorder="1"/>
    <xf numFmtId="0" fontId="19" fillId="12" borderId="8" xfId="49" applyFont="1" applyFill="1" applyBorder="1"/>
    <xf numFmtId="0" fontId="22" fillId="8" borderId="1" xfId="49" applyFont="1" applyFill="1" applyBorder="1" applyAlignment="1">
      <alignment horizontal="center"/>
    </xf>
    <xf numFmtId="0" fontId="7" fillId="13" borderId="1" xfId="49" applyFont="1" applyFill="1" applyBorder="1"/>
    <xf numFmtId="0" fontId="2" fillId="13" borderId="2" xfId="49" applyFont="1" applyFill="1" applyBorder="1" applyAlignment="1">
      <alignment horizontal="center"/>
    </xf>
    <xf numFmtId="0" fontId="1" fillId="14" borderId="12" xfId="49" applyFill="1" applyBorder="1"/>
    <xf numFmtId="0" fontId="7" fillId="13" borderId="2" xfId="49" applyFont="1" applyFill="1" applyBorder="1"/>
    <xf numFmtId="0" fontId="14" fillId="13" borderId="2" xfId="49" applyFont="1" applyFill="1" applyBorder="1" applyAlignment="1">
      <alignment horizontal="left"/>
    </xf>
    <xf numFmtId="0" fontId="2" fillId="13" borderId="3" xfId="49" applyFont="1" applyFill="1" applyBorder="1" applyAlignment="1">
      <alignment horizontal="center"/>
    </xf>
    <xf numFmtId="0" fontId="22" fillId="15" borderId="3" xfId="49" applyFont="1" applyFill="1" applyBorder="1" applyAlignment="1">
      <alignment horizontal="center"/>
    </xf>
    <xf numFmtId="0" fontId="16" fillId="13" borderId="2" xfId="49" applyFont="1" applyFill="1" applyBorder="1" applyAlignment="1">
      <alignment horizontal="left"/>
    </xf>
    <xf numFmtId="0" fontId="22" fillId="8" borderId="4" xfId="49" applyFont="1" applyFill="1" applyBorder="1" applyAlignment="1">
      <alignment horizontal="center"/>
    </xf>
    <xf numFmtId="0" fontId="7" fillId="13" borderId="4" xfId="49" applyFont="1" applyFill="1" applyBorder="1"/>
    <xf numFmtId="0" fontId="23" fillId="13" borderId="0" xfId="49" applyFont="1" applyFill="1" applyAlignment="1">
      <alignment horizontal="center"/>
    </xf>
    <xf numFmtId="0" fontId="1" fillId="14" borderId="13" xfId="49" applyFill="1" applyBorder="1"/>
    <xf numFmtId="0" fontId="7" fillId="13" borderId="0" xfId="49" applyFont="1" applyFill="1"/>
    <xf numFmtId="0" fontId="14" fillId="13" borderId="0" xfId="49" applyFont="1" applyFill="1" applyAlignment="1">
      <alignment horizontal="left"/>
    </xf>
    <xf numFmtId="0" fontId="23" fillId="13" borderId="5" xfId="49" applyFont="1" applyFill="1" applyBorder="1" applyAlignment="1">
      <alignment horizontal="center"/>
    </xf>
    <xf numFmtId="0" fontId="22" fillId="15" borderId="5" xfId="49" applyFont="1" applyFill="1" applyBorder="1" applyAlignment="1">
      <alignment horizontal="center"/>
    </xf>
    <xf numFmtId="0" fontId="22" fillId="8" borderId="6" xfId="49" applyFont="1" applyFill="1" applyBorder="1" applyAlignment="1">
      <alignment horizontal="center"/>
    </xf>
    <xf numFmtId="0" fontId="7" fillId="13" borderId="6" xfId="49" applyFont="1" applyFill="1" applyBorder="1"/>
    <xf numFmtId="0" fontId="2" fillId="13" borderId="7" xfId="49" applyFont="1" applyFill="1" applyBorder="1" applyAlignment="1">
      <alignment horizontal="center"/>
    </xf>
    <xf numFmtId="0" fontId="7" fillId="13" borderId="7" xfId="49" applyFont="1" applyFill="1" applyBorder="1"/>
    <xf numFmtId="0" fontId="2" fillId="13" borderId="8" xfId="49" applyFont="1" applyFill="1" applyBorder="1" applyAlignment="1">
      <alignment horizontal="center"/>
    </xf>
    <xf numFmtId="0" fontId="22" fillId="15" borderId="8" xfId="49" applyFont="1" applyFill="1" applyBorder="1" applyAlignment="1">
      <alignment horizontal="center"/>
    </xf>
    <xf numFmtId="0" fontId="3" fillId="16" borderId="15" xfId="49" applyFont="1" applyFill="1" applyBorder="1" applyAlignment="1">
      <alignment horizontal="left"/>
    </xf>
    <xf numFmtId="0" fontId="3" fillId="16" borderId="9" xfId="49" applyFont="1" applyFill="1" applyBorder="1" applyAlignment="1">
      <alignment horizontal="center"/>
    </xf>
    <xf numFmtId="0" fontId="3" fillId="16" borderId="11" xfId="49" applyFont="1" applyFill="1" applyBorder="1" applyAlignment="1">
      <alignment horizontal="center"/>
    </xf>
    <xf numFmtId="0" fontId="14" fillId="15" borderId="5" xfId="49" applyFont="1" applyFill="1" applyBorder="1" applyAlignment="1">
      <alignment horizontal="center"/>
    </xf>
    <xf numFmtId="0" fontId="7" fillId="16" borderId="16" xfId="49" applyFont="1" applyFill="1" applyBorder="1" applyAlignment="1">
      <alignment horizontal="right" indent="10"/>
    </xf>
    <xf numFmtId="0" fontId="7" fillId="16" borderId="17" xfId="49" applyFont="1" applyFill="1" applyBorder="1" applyAlignment="1">
      <alignment horizontal="right" indent="10"/>
    </xf>
    <xf numFmtId="0" fontId="14" fillId="15" borderId="0" xfId="49" applyFont="1" applyFill="1" applyAlignment="1">
      <alignment horizontal="center"/>
    </xf>
    <xf numFmtId="0" fontId="7" fillId="16" borderId="12" xfId="49" applyFont="1" applyFill="1" applyBorder="1" applyAlignment="1">
      <alignment horizontal="right" indent="10"/>
    </xf>
    <xf numFmtId="9" fontId="1" fillId="2" borderId="0" xfId="49" applyNumberFormat="1" applyFill="1" applyAlignment="1">
      <alignment horizontal="center"/>
    </xf>
    <xf numFmtId="0" fontId="7" fillId="2" borderId="4" xfId="49" applyFont="1" applyFill="1" applyBorder="1" applyAlignment="1">
      <alignment horizontal="right" indent="10"/>
    </xf>
    <xf numFmtId="0" fontId="7" fillId="16" borderId="18" xfId="49" applyFont="1" applyFill="1" applyBorder="1" applyAlignment="1">
      <alignment horizontal="right" indent="10"/>
    </xf>
    <xf numFmtId="0" fontId="19" fillId="2" borderId="0" xfId="49" applyFont="1" applyFill="1"/>
    <xf numFmtId="0" fontId="7" fillId="16" borderId="19" xfId="49" applyFont="1" applyFill="1" applyBorder="1" applyAlignment="1">
      <alignment horizontal="right" indent="10"/>
    </xf>
    <xf numFmtId="0" fontId="7" fillId="16" borderId="14" xfId="49" applyFont="1" applyFill="1" applyBorder="1" applyAlignment="1">
      <alignment horizontal="right" indent="10"/>
    </xf>
    <xf numFmtId="0" fontId="24" fillId="2" borderId="0" xfId="49" applyFont="1" applyFill="1"/>
    <xf numFmtId="0" fontId="25" fillId="2" borderId="0" xfId="49" applyFont="1" applyFill="1"/>
    <xf numFmtId="0" fontId="16" fillId="15" borderId="5" xfId="49" applyFont="1" applyFill="1" applyBorder="1" applyAlignment="1">
      <alignment horizontal="center"/>
    </xf>
    <xf numFmtId="0" fontId="1" fillId="3" borderId="13" xfId="49" applyFill="1" applyBorder="1"/>
    <xf numFmtId="0" fontId="26" fillId="2" borderId="0" xfId="49" applyFont="1" applyFill="1"/>
    <xf numFmtId="0" fontId="27" fillId="8" borderId="4" xfId="49" applyFont="1" applyFill="1" applyBorder="1" applyAlignment="1">
      <alignment horizontal="center"/>
    </xf>
    <xf numFmtId="0" fontId="27" fillId="15" borderId="5" xfId="49" applyFont="1" applyFill="1" applyBorder="1" applyAlignment="1">
      <alignment horizontal="center"/>
    </xf>
    <xf numFmtId="0" fontId="26" fillId="17" borderId="20" xfId="49" applyFont="1" applyFill="1" applyBorder="1" applyAlignment="1">
      <alignment horizontal="center"/>
    </xf>
    <xf numFmtId="0" fontId="26" fillId="17" borderId="21" xfId="49" applyFont="1" applyFill="1" applyBorder="1" applyAlignment="1">
      <alignment horizontal="center"/>
    </xf>
    <xf numFmtId="0" fontId="26" fillId="17" borderId="22" xfId="49" applyFont="1" applyFill="1" applyBorder="1" applyAlignment="1">
      <alignment horizontal="center"/>
    </xf>
    <xf numFmtId="0" fontId="28" fillId="17" borderId="4" xfId="49" applyFont="1" applyFill="1" applyBorder="1" applyAlignment="1">
      <alignment horizontal="right"/>
    </xf>
    <xf numFmtId="0" fontId="1" fillId="17" borderId="0" xfId="49" applyFill="1" applyAlignment="1">
      <alignment horizontal="left"/>
    </xf>
    <xf numFmtId="0" fontId="1" fillId="17" borderId="0" xfId="49" applyFill="1" applyAlignment="1">
      <alignment horizontal="center"/>
    </xf>
    <xf numFmtId="0" fontId="1" fillId="17" borderId="5" xfId="49" applyFill="1" applyBorder="1" applyAlignment="1">
      <alignment horizontal="center"/>
    </xf>
    <xf numFmtId="0" fontId="29" fillId="17" borderId="6" xfId="49" applyFont="1" applyFill="1" applyBorder="1"/>
    <xf numFmtId="0" fontId="3" fillId="17" borderId="7" xfId="49" applyFont="1" applyFill="1" applyBorder="1" applyAlignment="1">
      <alignment horizontal="left"/>
    </xf>
    <xf numFmtId="0" fontId="1" fillId="17" borderId="7" xfId="49" applyFill="1" applyBorder="1" applyAlignment="1">
      <alignment horizontal="center"/>
    </xf>
    <xf numFmtId="0" fontId="1" fillId="17" borderId="8" xfId="49" applyFill="1" applyBorder="1" applyAlignment="1">
      <alignment horizontal="center"/>
    </xf>
    <xf numFmtId="0" fontId="1" fillId="2" borderId="5" xfId="49" applyFill="1" applyBorder="1"/>
    <xf numFmtId="0" fontId="23" fillId="13" borderId="2" xfId="49" applyFont="1" applyFill="1" applyBorder="1" applyAlignment="1">
      <alignment horizontal="center"/>
    </xf>
    <xf numFmtId="0" fontId="23" fillId="13" borderId="3" xfId="49" applyFont="1" applyFill="1" applyBorder="1" applyAlignment="1">
      <alignment horizontal="center"/>
    </xf>
    <xf numFmtId="0" fontId="30" fillId="2" borderId="5" xfId="49" applyFont="1" applyFill="1" applyBorder="1" applyAlignment="1">
      <alignment horizontal="center"/>
    </xf>
    <xf numFmtId="0" fontId="29" fillId="2" borderId="4" xfId="49" applyFont="1" applyFill="1" applyBorder="1"/>
    <xf numFmtId="0" fontId="29" fillId="2" borderId="6" xfId="49" applyFont="1" applyFill="1" applyBorder="1"/>
    <xf numFmtId="0" fontId="3" fillId="2" borderId="7" xfId="49" applyFont="1" applyFill="1" applyBorder="1" applyAlignment="1">
      <alignment horizontal="right"/>
    </xf>
    <xf numFmtId="0" fontId="1" fillId="14" borderId="4" xfId="49" applyFill="1" applyBorder="1"/>
    <xf numFmtId="0" fontId="19" fillId="2" borderId="0" xfId="49" applyFont="1" applyFill="1" applyAlignment="1">
      <alignment horizontal="left"/>
    </xf>
    <xf numFmtId="0" fontId="28" fillId="2" borderId="4" xfId="49" applyFont="1" applyFill="1" applyBorder="1" applyAlignment="1">
      <alignment horizontal="right"/>
    </xf>
    <xf numFmtId="0" fontId="1" fillId="3" borderId="5" xfId="49" applyFill="1" applyBorder="1"/>
    <xf numFmtId="0" fontId="1" fillId="14" borderId="14" xfId="49" applyFill="1" applyBorder="1"/>
    <xf numFmtId="0" fontId="27" fillId="15" borderId="8" xfId="49" applyFont="1" applyFill="1" applyBorder="1" applyAlignment="1">
      <alignment horizontal="center"/>
    </xf>
    <xf numFmtId="0" fontId="22" fillId="8" borderId="13" xfId="49" applyFont="1" applyFill="1" applyBorder="1" applyAlignment="1">
      <alignment horizontal="center"/>
    </xf>
    <xf numFmtId="0" fontId="1" fillId="15" borderId="13" xfId="49" applyFill="1" applyBorder="1"/>
    <xf numFmtId="0" fontId="22" fillId="8" borderId="14" xfId="49" applyFont="1" applyFill="1" applyBorder="1" applyAlignment="1">
      <alignment horizontal="center"/>
    </xf>
    <xf numFmtId="0" fontId="14" fillId="8" borderId="13" xfId="49" applyFont="1" applyFill="1" applyBorder="1" applyAlignment="1">
      <alignment horizontal="center"/>
    </xf>
    <xf numFmtId="0" fontId="17" fillId="11" borderId="2" xfId="49" applyFont="1" applyFill="1" applyBorder="1" applyAlignment="1">
      <alignment horizontal="center"/>
    </xf>
    <xf numFmtId="0" fontId="17" fillId="11" borderId="3" xfId="49" applyFont="1" applyFill="1" applyBorder="1" applyAlignment="1">
      <alignment horizontal="center"/>
    </xf>
    <xf numFmtId="0" fontId="16" fillId="8" borderId="13" xfId="49" applyFont="1" applyFill="1" applyBorder="1" applyAlignment="1">
      <alignment horizontal="center"/>
    </xf>
    <xf numFmtId="0" fontId="27" fillId="8" borderId="13" xfId="49" applyFont="1" applyFill="1" applyBorder="1" applyAlignment="1">
      <alignment horizontal="center"/>
    </xf>
    <xf numFmtId="0" fontId="17" fillId="11" borderId="5" xfId="49" applyFont="1" applyFill="1" applyBorder="1" applyAlignment="1">
      <alignment horizontal="center"/>
    </xf>
    <xf numFmtId="0" fontId="17" fillId="11" borderId="7" xfId="49" applyFont="1" applyFill="1" applyBorder="1" applyAlignment="1">
      <alignment horizontal="center"/>
    </xf>
    <xf numFmtId="0" fontId="17" fillId="11" borderId="8" xfId="49" applyFont="1" applyFill="1" applyBorder="1" applyAlignment="1">
      <alignment horizontal="center"/>
    </xf>
    <xf numFmtId="0" fontId="1" fillId="15" borderId="14" xfId="49" applyFill="1" applyBorder="1"/>
    <xf numFmtId="0" fontId="22" fillId="8" borderId="12" xfId="49" applyFont="1" applyFill="1" applyBorder="1" applyAlignment="1">
      <alignment horizontal="center"/>
    </xf>
    <xf numFmtId="0" fontId="27" fillId="8" borderId="14" xfId="49" applyFont="1" applyFill="1" applyBorder="1" applyAlignment="1">
      <alignment horizontal="center"/>
    </xf>
    <xf numFmtId="0" fontId="7" fillId="2" borderId="2" xfId="49" applyFont="1" applyFill="1" applyBorder="1" applyAlignment="1">
      <alignment horizontal="right"/>
    </xf>
    <xf numFmtId="0" fontId="7" fillId="2" borderId="2" xfId="49" applyFont="1" applyFill="1" applyBorder="1" applyAlignment="1">
      <alignment horizontal="left"/>
    </xf>
    <xf numFmtId="0" fontId="31" fillId="8" borderId="1" xfId="49" applyFont="1" applyFill="1" applyBorder="1" applyAlignment="1">
      <alignment horizontal="left" vertical="top"/>
    </xf>
    <xf numFmtId="0" fontId="3" fillId="8" borderId="2" xfId="49" applyFont="1" applyFill="1" applyBorder="1"/>
    <xf numFmtId="0" fontId="1" fillId="8" borderId="2" xfId="49" applyFill="1" applyBorder="1" applyAlignment="1">
      <alignment horizontal="center"/>
    </xf>
    <xf numFmtId="0" fontId="1" fillId="8" borderId="2" xfId="49" applyFill="1" applyBorder="1"/>
    <xf numFmtId="0" fontId="1" fillId="8" borderId="3" xfId="49" applyFill="1" applyBorder="1" applyAlignment="1">
      <alignment horizontal="center"/>
    </xf>
    <xf numFmtId="0" fontId="27" fillId="2" borderId="0" xfId="49" applyFont="1" applyFill="1" applyAlignment="1">
      <alignment horizontal="right"/>
    </xf>
    <xf numFmtId="0" fontId="32" fillId="8" borderId="1" xfId="49" applyFont="1" applyFill="1" applyBorder="1" applyAlignment="1">
      <alignment horizontal="left"/>
    </xf>
    <xf numFmtId="0" fontId="3" fillId="8" borderId="3" xfId="49" applyFont="1" applyFill="1" applyBorder="1"/>
    <xf numFmtId="0" fontId="7" fillId="2" borderId="0" xfId="49" applyFont="1" applyFill="1" applyAlignment="1">
      <alignment horizontal="right"/>
    </xf>
    <xf numFmtId="0" fontId="1" fillId="8" borderId="4" xfId="49" applyFill="1" applyBorder="1" applyAlignment="1">
      <alignment horizontal="right"/>
    </xf>
    <xf numFmtId="0" fontId="1" fillId="8" borderId="0" xfId="49" applyFill="1"/>
    <xf numFmtId="0" fontId="1" fillId="8" borderId="0" xfId="49" applyFill="1" applyAlignment="1">
      <alignment horizontal="center"/>
    </xf>
    <xf numFmtId="0" fontId="3" fillId="8" borderId="0" xfId="49" applyFont="1" applyFill="1"/>
    <xf numFmtId="0" fontId="1" fillId="8" borderId="5" xfId="49" applyFill="1" applyBorder="1" applyAlignment="1">
      <alignment horizontal="center"/>
    </xf>
    <xf numFmtId="0" fontId="14" fillId="2" borderId="0" xfId="49" applyFont="1" applyFill="1" applyAlignment="1">
      <alignment horizontal="right"/>
    </xf>
    <xf numFmtId="0" fontId="11" fillId="8" borderId="4" xfId="49" applyFont="1" applyFill="1" applyBorder="1" applyAlignment="1">
      <alignment horizontal="left"/>
    </xf>
    <xf numFmtId="0" fontId="1" fillId="8" borderId="0" xfId="49" applyFill="1" applyAlignment="1">
      <alignment horizontal="right"/>
    </xf>
    <xf numFmtId="0" fontId="3" fillId="8" borderId="5" xfId="49" applyFont="1" applyFill="1" applyBorder="1"/>
    <xf numFmtId="0" fontId="1" fillId="8" borderId="4" xfId="49" applyFill="1" applyBorder="1"/>
    <xf numFmtId="0" fontId="3" fillId="8" borderId="0" xfId="49" applyFont="1" applyFill="1" applyAlignment="1">
      <alignment horizontal="left"/>
    </xf>
    <xf numFmtId="0" fontId="3" fillId="8" borderId="4" xfId="49" applyFont="1" applyFill="1" applyBorder="1"/>
    <xf numFmtId="0" fontId="7" fillId="8" borderId="0" xfId="49" applyFont="1" applyFill="1" applyAlignment="1">
      <alignment horizontal="left"/>
    </xf>
    <xf numFmtId="0" fontId="3" fillId="8" borderId="4" xfId="49" applyFont="1" applyFill="1" applyBorder="1" applyAlignment="1">
      <alignment horizontal="left" vertical="center"/>
    </xf>
    <xf numFmtId="0" fontId="21" fillId="8" borderId="4" xfId="49" applyFont="1" applyFill="1" applyBorder="1" applyAlignment="1">
      <alignment horizontal="right"/>
    </xf>
    <xf numFmtId="0" fontId="1" fillId="8" borderId="0" xfId="49" applyFill="1" applyAlignment="1">
      <alignment horizontal="left"/>
    </xf>
    <xf numFmtId="0" fontId="7" fillId="8" borderId="4" xfId="49" applyFont="1" applyFill="1" applyBorder="1" applyAlignment="1">
      <alignment horizontal="right"/>
    </xf>
    <xf numFmtId="0" fontId="3" fillId="8" borderId="6" xfId="49" applyFont="1" applyFill="1" applyBorder="1" applyAlignment="1">
      <alignment horizontal="left" vertical="center"/>
    </xf>
    <xf numFmtId="0" fontId="1" fillId="8" borderId="7" xfId="49" applyFill="1" applyBorder="1" applyAlignment="1">
      <alignment horizontal="center"/>
    </xf>
    <xf numFmtId="0" fontId="1" fillId="8" borderId="7" xfId="49" applyFill="1" applyBorder="1"/>
    <xf numFmtId="0" fontId="3" fillId="8" borderId="8" xfId="49" applyFont="1" applyFill="1" applyBorder="1"/>
    <xf numFmtId="0" fontId="21" fillId="8" borderId="4" xfId="49" applyFont="1" applyFill="1" applyBorder="1" applyAlignment="1">
      <alignment horizontal="right" vertical="top"/>
    </xf>
    <xf numFmtId="0" fontId="3" fillId="2" borderId="0" xfId="49" applyFont="1" applyFill="1" applyAlignment="1">
      <alignment horizontal="left"/>
    </xf>
    <xf numFmtId="0" fontId="2" fillId="8" borderId="4" xfId="49" applyFont="1" applyFill="1" applyBorder="1" applyAlignment="1">
      <alignment horizontal="right"/>
    </xf>
    <xf numFmtId="0" fontId="7" fillId="8" borderId="6" xfId="49" applyFont="1" applyFill="1" applyBorder="1" applyAlignment="1">
      <alignment horizontal="right"/>
    </xf>
    <xf numFmtId="0" fontId="1" fillId="8" borderId="7" xfId="49" applyFill="1" applyBorder="1" applyAlignment="1">
      <alignment horizontal="left"/>
    </xf>
    <xf numFmtId="0" fontId="3" fillId="8" borderId="7" xfId="49" applyFont="1" applyFill="1" applyBorder="1"/>
    <xf numFmtId="0" fontId="1" fillId="8" borderId="8" xfId="49" applyFill="1" applyBorder="1" applyAlignment="1">
      <alignment horizontal="center"/>
    </xf>
    <xf numFmtId="0" fontId="33" fillId="2" borderId="0" xfId="49" applyFont="1" applyFill="1" applyAlignment="1">
      <alignment horizontal="left"/>
    </xf>
    <xf numFmtId="0" fontId="2" fillId="2" borderId="2" xfId="49" applyFont="1" applyFill="1" applyBorder="1" applyAlignment="1">
      <alignment horizontal="left"/>
    </xf>
    <xf numFmtId="0" fontId="1" fillId="2" borderId="7" xfId="49" applyFill="1" applyBorder="1" applyAlignment="1">
      <alignment horizontal="left" vertical="top"/>
    </xf>
    <xf numFmtId="0" fontId="7" fillId="2" borderId="7" xfId="49" applyFont="1" applyFill="1" applyBorder="1"/>
    <xf numFmtId="0" fontId="1" fillId="2" borderId="7" xfId="49" applyFill="1" applyBorder="1" applyAlignment="1">
      <alignment horizontal="right"/>
    </xf>
    <xf numFmtId="0" fontId="1" fillId="2" borderId="8" xfId="49" applyFill="1" applyBorder="1"/>
    <xf numFmtId="14" fontId="8" fillId="4" borderId="0" xfId="49" applyNumberFormat="1" applyFont="1" applyFill="1" applyAlignment="1">
      <alignment horizontal="center"/>
    </xf>
    <xf numFmtId="0" fontId="2" fillId="8" borderId="12" xfId="49" applyFont="1" applyFill="1" applyBorder="1" applyAlignment="1">
      <alignment horizontal="center"/>
    </xf>
    <xf numFmtId="0" fontId="13" fillId="2" borderId="0" xfId="49" applyFont="1" applyFill="1" applyAlignment="1">
      <alignment horizontal="center"/>
    </xf>
    <xf numFmtId="0" fontId="14" fillId="8" borderId="14" xfId="49" applyFont="1" applyFill="1" applyBorder="1" applyAlignment="1">
      <alignment horizontal="center"/>
    </xf>
    <xf numFmtId="0" fontId="16" fillId="8" borderId="14" xfId="49" applyFont="1" applyFill="1" applyBorder="1" applyAlignment="1">
      <alignment horizontal="center"/>
    </xf>
    <xf numFmtId="0" fontId="3" fillId="18" borderId="0" xfId="49" applyFont="1" applyFill="1" applyAlignment="1">
      <alignment horizontal="center"/>
    </xf>
    <xf numFmtId="0" fontId="3" fillId="2" borderId="3" xfId="49" applyFont="1" applyFill="1" applyBorder="1" applyAlignment="1">
      <alignment horizontal="center"/>
    </xf>
    <xf numFmtId="0" fontId="34" fillId="2" borderId="0" xfId="49" applyFont="1" applyFill="1" applyAlignment="1">
      <alignment horizontal="left" vertical="top"/>
    </xf>
    <xf numFmtId="0" fontId="4" fillId="2" borderId="7" xfId="49" applyFont="1" applyFill="1" applyBorder="1" applyAlignment="1">
      <alignment horizontal="center" vertical="top"/>
    </xf>
    <xf numFmtId="0" fontId="1" fillId="2" borderId="2" xfId="49" applyFill="1" applyBorder="1" applyAlignment="1">
      <alignment horizontal="left"/>
    </xf>
    <xf numFmtId="0" fontId="3" fillId="2" borderId="2" xfId="49" applyFont="1" applyFill="1" applyBorder="1" applyAlignment="1">
      <alignment horizontal="center"/>
    </xf>
    <xf numFmtId="0" fontId="10" fillId="2" borderId="0" xfId="49" applyFont="1" applyFill="1" applyAlignment="1">
      <alignment horizontal="left"/>
    </xf>
    <xf numFmtId="0" fontId="4" fillId="2" borderId="0" xfId="49" applyFont="1" applyFill="1" applyAlignment="1">
      <alignment horizontal="left"/>
    </xf>
    <xf numFmtId="0" fontId="4" fillId="2" borderId="7" xfId="49" applyFont="1" applyFill="1" applyBorder="1" applyAlignment="1">
      <alignment horizontal="right" vertical="top"/>
    </xf>
    <xf numFmtId="0" fontId="10" fillId="2" borderId="7" xfId="49" applyFont="1" applyFill="1" applyBorder="1" applyAlignment="1">
      <alignment vertical="top"/>
    </xf>
    <xf numFmtId="0" fontId="7" fillId="2" borderId="5" xfId="49" applyFont="1" applyFill="1" applyBorder="1" applyAlignment="1">
      <alignment horizontal="right"/>
    </xf>
    <xf numFmtId="0" fontId="23" fillId="2" borderId="0" xfId="49" applyFont="1" applyFill="1" applyAlignment="1">
      <alignment horizontal="center"/>
    </xf>
    <xf numFmtId="0" fontId="2" fillId="2" borderId="5" xfId="49" applyFont="1" applyFill="1" applyBorder="1" applyAlignment="1">
      <alignment horizontal="right"/>
    </xf>
    <xf numFmtId="0" fontId="17" fillId="18" borderId="0" xfId="49" applyFont="1" applyFill="1" applyAlignment="1">
      <alignment horizontal="center"/>
    </xf>
    <xf numFmtId="0" fontId="3" fillId="18" borderId="0" xfId="49" applyFont="1" applyFill="1"/>
    <xf numFmtId="0" fontId="14" fillId="2" borderId="0" xfId="49" applyFont="1" applyFill="1"/>
    <xf numFmtId="0" fontId="35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H3" sqref="H3"/>
    </sheetView>
  </sheetViews>
  <sheetFormatPr defaultColWidth="8.71296296296296" defaultRowHeight="13.8"/>
  <sheetData>
    <row r="1" spans="1:15">
      <c r="A1" s="265"/>
    </row>
    <row r="3" spans="1:15">
      <c r="H3" t="s">
        <v>0</v>
      </c>
    </row>
    <row r="4" spans="1:15">
      <c r="B4" t="s">
        <v>1</v>
      </c>
    </row>
    <row r="5" spans="1:15">
      <c r="B5" t="s">
        <v>2</v>
      </c>
      <c r="O5" t="s">
        <v>3</v>
      </c>
    </row>
    <row r="6" spans="1:15">
      <c r="B6" t="s">
        <v>4</v>
      </c>
      <c r="O6" t="s">
        <v>5</v>
      </c>
    </row>
    <row r="7" spans="1:15">
      <c r="B7" t="s">
        <v>6</v>
      </c>
      <c r="O7" t="s">
        <v>7</v>
      </c>
    </row>
    <row r="8" spans="1:15">
      <c r="O8" t="s">
        <v>8</v>
      </c>
    </row>
    <row r="9" spans="1:15">
      <c r="B9" t="s">
        <v>9</v>
      </c>
      <c r="O9" t="s">
        <v>10</v>
      </c>
    </row>
    <row r="11" spans="1:15">
      <c r="B11" t="s">
        <v>11</v>
      </c>
    </row>
    <row r="15" spans="1:15">
      <c r="M15" t="s">
        <v>12</v>
      </c>
    </row>
    <row r="16" spans="1:15">
      <c r="M16" t="s">
        <v>13</v>
      </c>
    </row>
    <row r="17" spans="5:13">
      <c r="M17" t="s">
        <v>14</v>
      </c>
    </row>
    <row r="23" spans="5:13">
      <c r="E23" t="s">
        <v>15</v>
      </c>
    </row>
    <row r="24" spans="5:13">
      <c r="E24" t="s">
        <v>16</v>
      </c>
    </row>
    <row r="25" spans="5:13">
      <c r="E25" t="s">
        <v>17</v>
      </c>
    </row>
    <row r="26" spans="5:13">
      <c r="E26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BH242"/>
  <sheetViews>
    <sheetView zoomScale="75" zoomScaleNormal="75" topLeftCell="A18" workbookViewId="0">
      <selection activeCell="S53" sqref="S53"/>
    </sheetView>
  </sheetViews>
  <sheetFormatPr defaultColWidth="8.71296296296296" defaultRowHeight="15.6"/>
  <cols>
    <col min="1" max="1" width="1.12962962962963" style="1" customWidth="1"/>
    <col min="2" max="2" width="15.25" style="1" customWidth="1"/>
    <col min="3" max="3" width="5.25" style="2" customWidth="1"/>
    <col min="4" max="4" width="21.8796296296296" style="3" customWidth="1"/>
    <col min="5" max="5" width="9.12962962962963" style="4" customWidth="1"/>
    <col min="6" max="7" width="5" style="4" customWidth="1"/>
    <col min="8" max="8" width="2.12962962962963" style="5" customWidth="1"/>
    <col min="9" max="9" width="21.8796296296296" style="3" customWidth="1"/>
    <col min="10" max="10" width="8.62962962962963" style="4" customWidth="1"/>
    <col min="11" max="12" width="5" style="4" customWidth="1"/>
    <col min="13" max="13" width="2.12962962962963" style="5" customWidth="1"/>
    <col min="14" max="14" width="21.8796296296296" style="3" customWidth="1"/>
    <col min="15" max="15" width="9.62962962962963" style="4" customWidth="1"/>
    <col min="16" max="17" width="5" style="4" customWidth="1"/>
    <col min="18" max="18" width="2.12962962962963" style="5" customWidth="1"/>
    <col min="19" max="19" width="21.8796296296296" style="3" customWidth="1"/>
    <col min="20" max="20" width="8.62962962962963" style="4" customWidth="1"/>
    <col min="21" max="22" width="5" style="4" customWidth="1"/>
    <col min="23" max="23" width="2.12962962962963" style="5" customWidth="1"/>
    <col min="24" max="24" width="21.8796296296296" style="3" customWidth="1"/>
    <col min="25" max="25" width="8.62962962962963" style="4" customWidth="1"/>
    <col min="26" max="27" width="5.12962962962963" style="4" customWidth="1"/>
    <col min="28" max="28" width="2.12962962962963" style="5" customWidth="1"/>
    <col min="29" max="29" width="2.12962962962963" style="1" customWidth="1"/>
    <col min="30" max="30" width="4" style="1" customWidth="1"/>
    <col min="31" max="31" width="8.75" style="40" customWidth="1"/>
    <col min="32" max="32" width="5.75" style="1" customWidth="1"/>
    <col min="33" max="33" width="11.3796296296296" style="1" customWidth="1"/>
    <col min="34" max="34" width="15" style="1" customWidth="1"/>
    <col min="35" max="35" width="8" style="1" customWidth="1"/>
    <col min="36" max="36" width="8.75" style="1" customWidth="1"/>
    <col min="37" max="38" width="5.75" style="1" customWidth="1"/>
    <col min="39" max="39" width="15.6296296296296" style="1" customWidth="1"/>
    <col min="40" max="40" width="22.1296296296296" style="1" customWidth="1"/>
    <col min="41" max="41" width="8.75" style="1" customWidth="1"/>
    <col min="42" max="42" width="5.87962962962963" style="1" customWidth="1"/>
    <col min="43" max="43" width="5.12962962962963" style="1" customWidth="1"/>
    <col min="44" max="16384" width="12.3796296296296" style="1"/>
  </cols>
  <sheetData>
    <row r="1" spans="2:60">
      <c r="H1" s="1"/>
      <c r="M1" s="1"/>
      <c r="R1" s="1"/>
      <c r="W1" s="1"/>
      <c r="AB1" s="1"/>
    </row>
    <row r="2" spans="2:60">
      <c r="D2" s="6" t="s">
        <v>19</v>
      </c>
      <c r="E2" s="7" t="s">
        <v>20</v>
      </c>
      <c r="F2" s="8" t="s">
        <v>21</v>
      </c>
      <c r="G2" s="9"/>
      <c r="H2" s="10"/>
      <c r="I2" s="11"/>
      <c r="J2" s="9"/>
      <c r="K2" s="9"/>
      <c r="L2" s="12"/>
      <c r="M2" s="1"/>
      <c r="N2" s="6" t="s">
        <v>22</v>
      </c>
      <c r="O2" s="7" t="s">
        <v>20</v>
      </c>
      <c r="P2" s="239" t="s">
        <v>23</v>
      </c>
      <c r="Q2" s="9"/>
      <c r="R2" s="10"/>
      <c r="S2" s="11"/>
      <c r="T2" s="9"/>
      <c r="U2" s="9"/>
      <c r="V2" s="9"/>
      <c r="W2" s="10"/>
      <c r="X2" s="11"/>
      <c r="Y2" s="9"/>
      <c r="Z2" s="9"/>
      <c r="AA2" s="9"/>
      <c r="AB2" s="10"/>
      <c r="AC2" s="10"/>
      <c r="AD2" s="10"/>
      <c r="AE2" s="10"/>
      <c r="AF2" s="10"/>
      <c r="AG2" s="9"/>
      <c r="AH2" s="12"/>
      <c r="AJ2" s="3"/>
    </row>
    <row r="3" spans="2:60">
      <c r="D3" s="17"/>
      <c r="E3" s="18" t="s">
        <v>24</v>
      </c>
      <c r="F3" s="19" t="s">
        <v>25</v>
      </c>
      <c r="H3" s="20"/>
      <c r="L3" s="21"/>
      <c r="M3" s="1"/>
      <c r="N3" s="17"/>
      <c r="O3" s="18" t="s">
        <v>24</v>
      </c>
      <c r="P3" s="14" t="s">
        <v>26</v>
      </c>
      <c r="R3" s="1"/>
      <c r="W3" s="1"/>
      <c r="Y3" s="2"/>
      <c r="Z3" s="2"/>
      <c r="AB3" s="1"/>
      <c r="AG3" s="4"/>
      <c r="AH3" s="21"/>
      <c r="AJ3" s="3"/>
    </row>
    <row r="4" spans="2:60">
      <c r="C4" s="23"/>
      <c r="D4" s="24" t="s">
        <v>27</v>
      </c>
      <c r="E4" s="25">
        <v>275</v>
      </c>
      <c r="F4" s="26" t="s">
        <v>28</v>
      </c>
      <c r="H4" s="1"/>
      <c r="I4" s="20"/>
      <c r="L4" s="21"/>
      <c r="M4" s="1"/>
      <c r="N4" s="24" t="s">
        <v>29</v>
      </c>
      <c r="O4" s="25">
        <v>135</v>
      </c>
      <c r="P4" s="19" t="s">
        <v>30</v>
      </c>
      <c r="R4" s="1"/>
      <c r="W4" s="1"/>
      <c r="X4" s="29"/>
      <c r="AB4" s="1"/>
      <c r="AG4" s="4"/>
      <c r="AH4" s="21"/>
      <c r="AJ4" s="3"/>
    </row>
    <row r="5" spans="2:60">
      <c r="C5" s="23"/>
      <c r="D5" s="24" t="s">
        <v>31</v>
      </c>
      <c r="E5" s="25">
        <v>190</v>
      </c>
      <c r="F5" s="1" t="s">
        <v>32</v>
      </c>
      <c r="H5" s="1"/>
      <c r="L5" s="21"/>
      <c r="M5" s="1"/>
      <c r="N5" s="24" t="s">
        <v>33</v>
      </c>
      <c r="O5" s="25">
        <v>165</v>
      </c>
      <c r="P5" s="30" t="s">
        <v>34</v>
      </c>
      <c r="R5" s="1"/>
      <c r="W5" s="1"/>
      <c r="X5" s="29"/>
      <c r="AB5" s="1"/>
      <c r="AG5" s="4"/>
      <c r="AH5" s="21"/>
      <c r="AJ5" s="3"/>
      <c r="AN5" s="1" t="s">
        <v>35</v>
      </c>
    </row>
    <row r="6" spans="2:60">
      <c r="C6" s="23"/>
      <c r="D6" s="24" t="s">
        <v>36</v>
      </c>
      <c r="E6" s="25">
        <v>295</v>
      </c>
      <c r="F6" s="20" t="s">
        <v>37</v>
      </c>
      <c r="H6" s="1"/>
      <c r="L6" s="21"/>
      <c r="M6" s="1"/>
      <c r="N6" s="17"/>
      <c r="O6" s="25"/>
      <c r="P6" s="30" t="s">
        <v>38</v>
      </c>
      <c r="R6" s="1"/>
      <c r="W6" s="1"/>
      <c r="X6" s="29"/>
      <c r="AB6" s="1"/>
      <c r="AG6" s="4"/>
      <c r="AH6" s="21"/>
      <c r="AJ6" s="3"/>
      <c r="AN6" s="1" t="s">
        <v>39</v>
      </c>
    </row>
    <row r="7" spans="2:60">
      <c r="C7" s="23"/>
      <c r="D7" s="31" t="s">
        <v>40</v>
      </c>
      <c r="E7" s="32">
        <v>105</v>
      </c>
      <c r="F7" s="33"/>
      <c r="G7" s="33"/>
      <c r="H7" s="34"/>
      <c r="I7" s="35" t="s">
        <v>41</v>
      </c>
      <c r="J7" s="33"/>
      <c r="K7" s="33"/>
      <c r="L7" s="36"/>
      <c r="M7" s="1"/>
      <c r="N7" s="37"/>
      <c r="O7" s="32"/>
      <c r="P7" s="240" t="s">
        <v>42</v>
      </c>
      <c r="Q7" s="33"/>
      <c r="R7" s="34"/>
      <c r="S7" s="35"/>
      <c r="T7" s="33"/>
      <c r="U7" s="33"/>
      <c r="V7" s="33"/>
      <c r="W7" s="34"/>
      <c r="X7" s="241"/>
      <c r="Y7" s="33"/>
      <c r="Z7" s="33"/>
      <c r="AA7" s="33"/>
      <c r="AB7" s="34"/>
      <c r="AC7" s="34"/>
      <c r="AD7" s="34"/>
      <c r="AE7" s="242"/>
      <c r="AF7" s="34"/>
      <c r="AG7" s="34"/>
      <c r="AH7" s="243"/>
      <c r="AJ7" s="3"/>
    </row>
    <row r="8" spans="2:60">
      <c r="C8" s="23"/>
      <c r="D8" s="15" t="s">
        <v>43</v>
      </c>
      <c r="H8" s="1"/>
      <c r="M8" s="1"/>
      <c r="P8" s="4" t="s">
        <v>44</v>
      </c>
      <c r="R8" s="1"/>
      <c r="W8" s="1"/>
      <c r="X8" s="29"/>
      <c r="AB8" s="1"/>
      <c r="AD8" s="39"/>
      <c r="AG8" s="16"/>
      <c r="AH8" s="41"/>
      <c r="AI8" s="41"/>
      <c r="AK8" s="3"/>
    </row>
    <row r="9" spans="2:60">
      <c r="D9" s="42" t="s">
        <v>45</v>
      </c>
      <c r="E9" s="1"/>
      <c r="H9" s="1"/>
      <c r="I9" s="42" t="s">
        <v>46</v>
      </c>
      <c r="M9" s="1"/>
      <c r="N9" s="42" t="s">
        <v>47</v>
      </c>
      <c r="P9" s="20"/>
      <c r="R9" s="1"/>
      <c r="S9" s="42" t="s">
        <v>48</v>
      </c>
      <c r="W9" s="1"/>
      <c r="X9" s="42" t="s">
        <v>49</v>
      </c>
      <c r="AB9" s="1"/>
      <c r="AC9" s="42"/>
      <c r="AD9" s="4"/>
      <c r="AE9" s="4"/>
      <c r="AF9" s="4"/>
      <c r="AH9" s="42"/>
      <c r="AI9" s="4"/>
      <c r="AJ9" s="4"/>
      <c r="AK9" s="4"/>
      <c r="AM9" s="42"/>
      <c r="AN9" s="4"/>
      <c r="AO9" s="4"/>
      <c r="AP9" s="4"/>
      <c r="AR9" s="42"/>
      <c r="AS9" s="4"/>
      <c r="AT9" s="4"/>
      <c r="AU9" s="4"/>
      <c r="AW9" s="42"/>
      <c r="AX9" s="4"/>
      <c r="AY9" s="4"/>
      <c r="AZ9" s="4"/>
      <c r="BB9" s="42"/>
      <c r="BC9" s="4"/>
      <c r="BD9" s="4"/>
      <c r="BE9" s="4"/>
      <c r="BG9" s="42"/>
      <c r="BH9" s="4"/>
    </row>
    <row r="10" spans="2:60">
      <c r="C10" s="2" t="s">
        <v>50</v>
      </c>
      <c r="D10" s="244">
        <v>42402</v>
      </c>
      <c r="E10" s="44" t="s">
        <v>51</v>
      </c>
      <c r="F10" s="45"/>
      <c r="G10" s="45"/>
      <c r="H10" s="46"/>
      <c r="I10" s="47">
        <f>D11+1</f>
        <v>42409</v>
      </c>
      <c r="J10" s="45"/>
      <c r="K10" s="45"/>
      <c r="L10" s="45"/>
      <c r="M10" s="46"/>
      <c r="N10" s="47">
        <f>I11+1</f>
        <v>42416</v>
      </c>
      <c r="O10" s="45"/>
      <c r="P10" s="48"/>
      <c r="Q10" s="45"/>
      <c r="R10" s="46"/>
      <c r="S10" s="47">
        <f>N11+1</f>
        <v>42423</v>
      </c>
      <c r="T10" s="45"/>
      <c r="U10" s="45"/>
      <c r="V10" s="45"/>
      <c r="W10" s="46"/>
      <c r="X10" s="47">
        <f>S11+1</f>
        <v>42430</v>
      </c>
      <c r="Y10" s="45"/>
      <c r="Z10" s="45"/>
      <c r="AA10" s="45"/>
      <c r="AB10" s="46"/>
      <c r="AC10" s="47"/>
      <c r="AD10" s="45"/>
      <c r="AE10" s="45"/>
      <c r="AF10" s="45"/>
      <c r="AG10" s="46"/>
      <c r="AH10" s="47"/>
      <c r="AI10" s="45"/>
      <c r="AJ10" s="45"/>
      <c r="AK10" s="45"/>
      <c r="AL10" s="46"/>
      <c r="AM10" s="47"/>
      <c r="AN10" s="45"/>
      <c r="AO10" s="45"/>
      <c r="AP10" s="45"/>
      <c r="AQ10" s="46"/>
      <c r="AR10" s="47"/>
      <c r="AS10" s="4"/>
      <c r="AT10" s="4"/>
      <c r="AU10" s="4"/>
      <c r="AW10" s="42"/>
      <c r="AX10" s="4"/>
      <c r="AY10" s="4"/>
      <c r="AZ10" s="4"/>
      <c r="BB10" s="42"/>
      <c r="BC10" s="4"/>
      <c r="BD10" s="4"/>
      <c r="BE10" s="4"/>
      <c r="BG10" s="42"/>
      <c r="BH10" s="4"/>
    </row>
    <row r="11" spans="2:60">
      <c r="C11" s="2" t="s">
        <v>52</v>
      </c>
      <c r="D11" s="47">
        <f>D10+6</f>
        <v>42408</v>
      </c>
      <c r="E11" s="44" t="s">
        <v>53</v>
      </c>
      <c r="F11" s="45"/>
      <c r="G11" s="45"/>
      <c r="H11" s="46"/>
      <c r="I11" s="47">
        <f>I10+6</f>
        <v>42415</v>
      </c>
      <c r="J11" s="45"/>
      <c r="K11" s="45"/>
      <c r="L11" s="45"/>
      <c r="M11" s="46"/>
      <c r="N11" s="47">
        <f>N10+6</f>
        <v>42422</v>
      </c>
      <c r="O11" s="45"/>
      <c r="P11" s="48"/>
      <c r="Q11" s="45"/>
      <c r="R11" s="46"/>
      <c r="S11" s="47">
        <f>S10+6</f>
        <v>42429</v>
      </c>
      <c r="T11" s="45"/>
      <c r="U11" s="45"/>
      <c r="V11" s="45"/>
      <c r="W11" s="46"/>
      <c r="X11" s="47">
        <f>X10+6</f>
        <v>42436</v>
      </c>
      <c r="Y11" s="45"/>
      <c r="Z11" s="45"/>
      <c r="AA11" s="45"/>
      <c r="AB11" s="46"/>
      <c r="AC11" s="47"/>
      <c r="AD11" s="45"/>
      <c r="AE11" s="45"/>
      <c r="AF11" s="45"/>
      <c r="AG11" s="46"/>
      <c r="AH11" s="47"/>
      <c r="AI11" s="45"/>
      <c r="AJ11" s="45"/>
      <c r="AK11" s="45"/>
      <c r="AL11" s="46"/>
      <c r="AM11" s="47"/>
      <c r="AN11" s="45"/>
      <c r="AO11" s="45"/>
      <c r="AP11" s="45"/>
      <c r="AQ11" s="46"/>
      <c r="AR11" s="47"/>
      <c r="AS11" s="4"/>
      <c r="AT11" s="4"/>
      <c r="AU11" s="4"/>
      <c r="AW11" s="42"/>
      <c r="AX11" s="4"/>
      <c r="AY11" s="4"/>
      <c r="AZ11" s="4"/>
      <c r="BB11" s="42"/>
      <c r="BC11" s="4"/>
      <c r="BD11" s="4"/>
      <c r="BE11" s="4"/>
      <c r="BG11" s="42"/>
      <c r="BH11" s="4"/>
    </row>
    <row r="12" spans="2:60">
      <c r="B12" s="63" t="s">
        <v>54</v>
      </c>
      <c r="C12" s="245"/>
      <c r="D12" s="67" t="s">
        <v>55</v>
      </c>
      <c r="E12" s="66" t="s">
        <v>56</v>
      </c>
      <c r="F12" s="9"/>
      <c r="G12" s="9"/>
      <c r="H12" s="10"/>
      <c r="I12" s="67" t="s">
        <v>55</v>
      </c>
      <c r="J12" s="66" t="s">
        <v>56</v>
      </c>
      <c r="K12" s="9"/>
      <c r="L12" s="9"/>
      <c r="M12" s="10"/>
      <c r="N12" s="67" t="s">
        <v>55</v>
      </c>
      <c r="O12" s="66" t="s">
        <v>56</v>
      </c>
      <c r="P12" s="9"/>
      <c r="Q12" s="9"/>
      <c r="R12" s="10"/>
      <c r="S12" s="67" t="s">
        <v>55</v>
      </c>
      <c r="T12" s="66" t="s">
        <v>56</v>
      </c>
      <c r="U12" s="9"/>
      <c r="V12" s="9"/>
      <c r="W12" s="10"/>
      <c r="X12" s="67" t="s">
        <v>55</v>
      </c>
      <c r="Y12" s="66" t="s">
        <v>56</v>
      </c>
      <c r="Z12" s="70"/>
      <c r="AB12" s="1"/>
      <c r="AE12" s="1"/>
      <c r="AJ12" s="18"/>
      <c r="AK12" s="4"/>
      <c r="AL12" s="4"/>
      <c r="AN12" s="246"/>
      <c r="AO12" s="18"/>
    </row>
    <row r="13" spans="2:60">
      <c r="B13" s="71" t="s">
        <v>57</v>
      </c>
      <c r="C13" s="188">
        <v>1</v>
      </c>
      <c r="D13" s="75" t="s">
        <v>27</v>
      </c>
      <c r="E13" s="74">
        <v>0.85</v>
      </c>
      <c r="F13" s="2"/>
      <c r="H13" s="1"/>
      <c r="I13" s="75" t="s">
        <v>27</v>
      </c>
      <c r="J13" s="74">
        <v>0.9</v>
      </c>
      <c r="K13" s="76"/>
      <c r="M13" s="1"/>
      <c r="N13" s="75" t="s">
        <v>27</v>
      </c>
      <c r="O13" s="74">
        <v>0.875</v>
      </c>
      <c r="P13" s="76"/>
      <c r="R13" s="1"/>
      <c r="S13" s="75" t="s">
        <v>27</v>
      </c>
      <c r="T13" s="74">
        <v>0.95</v>
      </c>
      <c r="U13" s="76"/>
      <c r="W13" s="1"/>
      <c r="X13" s="75" t="s">
        <v>27</v>
      </c>
      <c r="Y13" s="74">
        <v>0.9</v>
      </c>
      <c r="Z13" s="76"/>
      <c r="AB13" s="1"/>
      <c r="AE13" s="1"/>
      <c r="AJ13" s="4"/>
      <c r="AK13" s="2"/>
      <c r="AL13" s="4"/>
      <c r="AN13" s="75"/>
      <c r="AO13" s="4"/>
    </row>
    <row r="14" spans="2:60">
      <c r="B14" s="71" t="s">
        <v>57</v>
      </c>
      <c r="C14" s="188">
        <v>1</v>
      </c>
      <c r="D14" s="75"/>
      <c r="E14" s="74"/>
      <c r="F14" s="2"/>
      <c r="H14" s="1"/>
      <c r="I14" s="75"/>
      <c r="J14" s="74"/>
      <c r="K14" s="76"/>
      <c r="M14" s="1"/>
      <c r="N14" s="75"/>
      <c r="O14" s="74">
        <v>0.925</v>
      </c>
      <c r="P14" s="76"/>
      <c r="R14" s="1"/>
      <c r="S14" s="75"/>
      <c r="T14" s="74"/>
      <c r="U14" s="76"/>
      <c r="W14" s="1"/>
      <c r="X14" s="75"/>
      <c r="Y14" s="74">
        <v>0.95</v>
      </c>
      <c r="Z14" s="76"/>
      <c r="AB14" s="1"/>
      <c r="AD14" s="75"/>
      <c r="AE14" s="4"/>
      <c r="AF14" s="2"/>
      <c r="AG14" s="4"/>
      <c r="AI14" s="75"/>
      <c r="AJ14" s="4"/>
      <c r="AK14" s="2"/>
      <c r="AL14" s="4"/>
      <c r="AN14" s="75"/>
      <c r="AO14" s="4"/>
    </row>
    <row r="15" spans="2:60">
      <c r="B15" s="77" t="s">
        <v>57</v>
      </c>
      <c r="C15" s="247">
        <v>1</v>
      </c>
      <c r="D15" s="82"/>
      <c r="E15" s="80"/>
      <c r="F15" s="81"/>
      <c r="G15" s="33"/>
      <c r="H15" s="34"/>
      <c r="I15" s="82"/>
      <c r="J15" s="80"/>
      <c r="K15" s="83"/>
      <c r="L15" s="33"/>
      <c r="M15" s="34"/>
      <c r="N15" s="82"/>
      <c r="O15" s="80">
        <v>0.975</v>
      </c>
      <c r="P15" s="83"/>
      <c r="Q15" s="33"/>
      <c r="R15" s="34"/>
      <c r="S15" s="82"/>
      <c r="T15" s="80"/>
      <c r="U15" s="83"/>
      <c r="V15" s="33"/>
      <c r="W15" s="34"/>
      <c r="X15" s="82"/>
      <c r="Y15" s="80">
        <v>1</v>
      </c>
      <c r="Z15" s="76"/>
      <c r="AB15" s="1"/>
      <c r="AD15" s="75"/>
      <c r="AE15" s="4"/>
      <c r="AF15" s="2"/>
      <c r="AG15" s="4"/>
      <c r="AI15" s="75"/>
      <c r="AJ15" s="4"/>
      <c r="AK15" s="2"/>
      <c r="AL15" s="4"/>
      <c r="AN15" s="75"/>
      <c r="AO15" s="4"/>
    </row>
    <row r="16" spans="2:60">
      <c r="B16" s="71" t="s">
        <v>58</v>
      </c>
      <c r="C16" s="188">
        <v>1</v>
      </c>
      <c r="D16" s="75" t="s">
        <v>31</v>
      </c>
      <c r="E16" s="74">
        <v>0.85</v>
      </c>
      <c r="F16" s="2"/>
      <c r="H16" s="1"/>
      <c r="I16" s="75" t="s">
        <v>31</v>
      </c>
      <c r="J16" s="74">
        <v>0.9</v>
      </c>
      <c r="K16" s="76"/>
      <c r="M16" s="1"/>
      <c r="N16" s="75" t="s">
        <v>31</v>
      </c>
      <c r="O16" s="74">
        <v>0.875</v>
      </c>
      <c r="P16" s="76"/>
      <c r="R16" s="1"/>
      <c r="S16" s="75" t="s">
        <v>31</v>
      </c>
      <c r="T16" s="74">
        <v>0.95</v>
      </c>
      <c r="U16" s="76"/>
      <c r="W16" s="1"/>
      <c r="X16" s="75" t="s">
        <v>31</v>
      </c>
      <c r="Y16" s="74">
        <v>0.9</v>
      </c>
      <c r="Z16" s="70"/>
      <c r="AB16" s="1"/>
      <c r="AD16" s="75"/>
      <c r="AE16" s="4"/>
      <c r="AF16" s="4"/>
      <c r="AG16" s="4"/>
      <c r="AI16" s="75"/>
      <c r="AJ16" s="4"/>
      <c r="AK16" s="4"/>
      <c r="AL16" s="4"/>
      <c r="AN16" s="75"/>
      <c r="AO16" s="4"/>
    </row>
    <row r="17" spans="2:41">
      <c r="B17" s="71" t="s">
        <v>58</v>
      </c>
      <c r="C17" s="188">
        <v>1</v>
      </c>
      <c r="D17" s="75"/>
      <c r="E17" s="74"/>
      <c r="F17" s="2"/>
      <c r="H17" s="1"/>
      <c r="I17" s="75"/>
      <c r="J17" s="74"/>
      <c r="K17" s="76"/>
      <c r="M17" s="1"/>
      <c r="N17" s="75"/>
      <c r="O17" s="74">
        <v>0.925</v>
      </c>
      <c r="P17" s="76"/>
      <c r="R17" s="1"/>
      <c r="S17" s="75"/>
      <c r="T17" s="74"/>
      <c r="U17" s="76"/>
      <c r="W17" s="1"/>
      <c r="X17" s="75"/>
      <c r="Y17" s="74">
        <v>0.95</v>
      </c>
      <c r="Z17" s="70"/>
      <c r="AB17" s="1"/>
      <c r="AD17" s="75"/>
      <c r="AE17" s="4"/>
      <c r="AF17" s="4"/>
      <c r="AG17" s="4"/>
      <c r="AI17" s="75"/>
      <c r="AJ17" s="4"/>
      <c r="AK17" s="4"/>
      <c r="AL17" s="4"/>
      <c r="AN17" s="75"/>
      <c r="AO17" s="4"/>
    </row>
    <row r="18" spans="2:41">
      <c r="B18" s="77" t="s">
        <v>58</v>
      </c>
      <c r="C18" s="247">
        <v>1</v>
      </c>
      <c r="D18" s="82"/>
      <c r="E18" s="80"/>
      <c r="F18" s="81"/>
      <c r="G18" s="33"/>
      <c r="H18" s="34"/>
      <c r="I18" s="82"/>
      <c r="J18" s="80"/>
      <c r="K18" s="83"/>
      <c r="L18" s="33"/>
      <c r="M18" s="34"/>
      <c r="N18" s="82"/>
      <c r="O18" s="80">
        <v>0.975</v>
      </c>
      <c r="P18" s="83"/>
      <c r="Q18" s="33"/>
      <c r="R18" s="34"/>
      <c r="S18" s="82"/>
      <c r="T18" s="80"/>
      <c r="U18" s="83"/>
      <c r="V18" s="33"/>
      <c r="W18" s="34"/>
      <c r="X18" s="82"/>
      <c r="Y18" s="80">
        <v>1</v>
      </c>
      <c r="Z18" s="70"/>
      <c r="AB18" s="1"/>
      <c r="AD18" s="75"/>
      <c r="AE18" s="4"/>
      <c r="AF18" s="4"/>
      <c r="AG18" s="4"/>
      <c r="AI18" s="75"/>
      <c r="AJ18" s="4"/>
      <c r="AK18" s="4"/>
      <c r="AL18" s="4"/>
      <c r="AN18" s="75"/>
      <c r="AO18" s="4"/>
    </row>
    <row r="19" spans="2:41">
      <c r="B19" s="71" t="s">
        <v>59</v>
      </c>
      <c r="C19" s="188">
        <v>1</v>
      </c>
      <c r="D19" s="75" t="s">
        <v>60</v>
      </c>
      <c r="E19" s="74">
        <v>0.75</v>
      </c>
      <c r="H19" s="1"/>
      <c r="I19" s="75" t="s">
        <v>60</v>
      </c>
      <c r="J19" s="74">
        <v>0.8</v>
      </c>
      <c r="K19" s="70"/>
      <c r="M19" s="1"/>
      <c r="N19" s="75" t="s">
        <v>60</v>
      </c>
      <c r="O19" s="74">
        <v>0.85</v>
      </c>
      <c r="P19" s="70"/>
      <c r="R19" s="1"/>
      <c r="S19" s="75" t="s">
        <v>60</v>
      </c>
      <c r="T19" s="74">
        <v>0.875</v>
      </c>
      <c r="U19" s="70"/>
      <c r="W19" s="1"/>
      <c r="X19" s="75" t="s">
        <v>36</v>
      </c>
      <c r="Y19" s="74">
        <v>0.9</v>
      </c>
      <c r="Z19" s="70"/>
      <c r="AB19" s="1"/>
      <c r="AD19" s="75"/>
      <c r="AE19" s="4"/>
      <c r="AF19" s="4"/>
      <c r="AG19" s="4"/>
      <c r="AI19" s="75"/>
      <c r="AJ19" s="4"/>
      <c r="AK19" s="4"/>
      <c r="AL19" s="4"/>
      <c r="AN19" s="75"/>
      <c r="AO19" s="4"/>
    </row>
    <row r="20" spans="2:41">
      <c r="B20" s="71" t="s">
        <v>59</v>
      </c>
      <c r="C20" s="188">
        <v>1</v>
      </c>
      <c r="D20" s="75"/>
      <c r="E20" s="74"/>
      <c r="H20" s="1"/>
      <c r="I20" s="75"/>
      <c r="J20" s="74"/>
      <c r="K20" s="70"/>
      <c r="M20" s="1"/>
      <c r="N20" s="75"/>
      <c r="O20" s="74"/>
      <c r="P20" s="70"/>
      <c r="R20" s="1"/>
      <c r="S20" s="75"/>
      <c r="T20" s="74">
        <v>0.925</v>
      </c>
      <c r="U20" s="70"/>
      <c r="W20" s="1"/>
      <c r="X20" s="75"/>
      <c r="Y20" s="74">
        <v>0.95</v>
      </c>
      <c r="Z20" s="70"/>
      <c r="AB20" s="1"/>
      <c r="AD20" s="75"/>
      <c r="AE20" s="4"/>
      <c r="AF20" s="4"/>
      <c r="AG20" s="4"/>
      <c r="AI20" s="75"/>
      <c r="AJ20" s="4"/>
      <c r="AK20" s="4"/>
      <c r="AL20" s="4"/>
      <c r="AN20" s="75"/>
      <c r="AO20" s="4"/>
    </row>
    <row r="21" spans="2:41">
      <c r="B21" s="77" t="s">
        <v>59</v>
      </c>
      <c r="C21" s="247">
        <v>1</v>
      </c>
      <c r="D21" s="82"/>
      <c r="E21" s="80"/>
      <c r="F21" s="33"/>
      <c r="G21" s="33"/>
      <c r="H21" s="34"/>
      <c r="I21" s="82"/>
      <c r="J21" s="80"/>
      <c r="K21" s="85"/>
      <c r="L21" s="33"/>
      <c r="M21" s="34"/>
      <c r="N21" s="82"/>
      <c r="O21" s="80"/>
      <c r="P21" s="85"/>
      <c r="Q21" s="33"/>
      <c r="R21" s="34"/>
      <c r="S21" s="82"/>
      <c r="T21" s="80">
        <v>0.975</v>
      </c>
      <c r="U21" s="85"/>
      <c r="V21" s="33"/>
      <c r="W21" s="34"/>
      <c r="X21" s="82"/>
      <c r="Y21" s="80">
        <v>1</v>
      </c>
      <c r="Z21" s="70"/>
      <c r="AB21" s="1"/>
      <c r="AD21" s="75"/>
      <c r="AE21" s="4"/>
      <c r="AF21" s="4"/>
      <c r="AG21" s="4"/>
      <c r="AI21" s="75"/>
      <c r="AJ21" s="4"/>
      <c r="AK21" s="4"/>
      <c r="AL21" s="4"/>
      <c r="AN21" s="75"/>
      <c r="AO21" s="4"/>
    </row>
    <row r="22" spans="2:41">
      <c r="B22" s="71" t="s">
        <v>61</v>
      </c>
      <c r="C22" s="188">
        <v>1</v>
      </c>
      <c r="D22" s="75" t="s">
        <v>62</v>
      </c>
      <c r="E22" s="74">
        <v>0.9</v>
      </c>
      <c r="H22" s="1"/>
      <c r="I22" s="75" t="s">
        <v>62</v>
      </c>
      <c r="J22" s="74">
        <v>0.95</v>
      </c>
      <c r="K22" s="70"/>
      <c r="M22" s="1"/>
      <c r="N22" s="75" t="s">
        <v>62</v>
      </c>
      <c r="O22" s="74">
        <v>0.925</v>
      </c>
      <c r="P22" s="70"/>
      <c r="R22" s="1"/>
      <c r="S22" s="75" t="s">
        <v>62</v>
      </c>
      <c r="T22" s="74">
        <v>1</v>
      </c>
      <c r="U22" s="70"/>
      <c r="W22" s="1"/>
      <c r="X22" s="75" t="s">
        <v>62</v>
      </c>
      <c r="Y22" s="74">
        <v>0.95</v>
      </c>
      <c r="Z22" s="70"/>
      <c r="AB22" s="1"/>
      <c r="AD22" s="75"/>
      <c r="AE22" s="4"/>
      <c r="AF22" s="4"/>
      <c r="AG22" s="4"/>
      <c r="AI22" s="75"/>
      <c r="AJ22" s="4"/>
      <c r="AK22" s="4"/>
      <c r="AL22" s="4"/>
      <c r="AN22" s="75"/>
      <c r="AO22" s="4"/>
    </row>
    <row r="23" spans="2:41">
      <c r="B23" s="71" t="s">
        <v>61</v>
      </c>
      <c r="C23" s="188">
        <v>1</v>
      </c>
      <c r="D23" s="75"/>
      <c r="E23" s="74"/>
      <c r="H23" s="1"/>
      <c r="I23" s="75"/>
      <c r="J23" s="74"/>
      <c r="K23" s="70"/>
      <c r="M23" s="1"/>
      <c r="N23" s="75"/>
      <c r="O23" s="74">
        <v>0.975</v>
      </c>
      <c r="P23" s="70"/>
      <c r="R23" s="1"/>
      <c r="S23" s="75"/>
      <c r="T23" s="74"/>
      <c r="U23" s="70"/>
      <c r="W23" s="1"/>
      <c r="X23" s="75"/>
      <c r="Y23" s="74">
        <v>1</v>
      </c>
      <c r="Z23" s="70"/>
      <c r="AB23" s="1"/>
      <c r="AD23" s="75"/>
      <c r="AE23" s="4"/>
      <c r="AF23" s="4"/>
      <c r="AG23" s="4"/>
      <c r="AI23" s="75"/>
      <c r="AJ23" s="4"/>
      <c r="AK23" s="4"/>
      <c r="AL23" s="4"/>
      <c r="AN23" s="75"/>
      <c r="AO23" s="4"/>
    </row>
    <row r="24" spans="2:41">
      <c r="B24" s="77" t="s">
        <v>61</v>
      </c>
      <c r="C24" s="247">
        <v>1</v>
      </c>
      <c r="D24" s="82"/>
      <c r="E24" s="80"/>
      <c r="F24" s="33"/>
      <c r="G24" s="33"/>
      <c r="H24" s="34"/>
      <c r="I24" s="82"/>
      <c r="J24" s="80"/>
      <c r="K24" s="85"/>
      <c r="L24" s="33"/>
      <c r="M24" s="34"/>
      <c r="N24" s="82"/>
      <c r="O24" s="80">
        <v>1.025</v>
      </c>
      <c r="P24" s="85"/>
      <c r="Q24" s="33"/>
      <c r="R24" s="34"/>
      <c r="S24" s="82"/>
      <c r="T24" s="80"/>
      <c r="U24" s="85"/>
      <c r="V24" s="33"/>
      <c r="W24" s="34"/>
      <c r="X24" s="82"/>
      <c r="Y24" s="80">
        <v>1.05</v>
      </c>
      <c r="Z24" s="70"/>
      <c r="AB24" s="1"/>
      <c r="AD24" s="75"/>
      <c r="AE24" s="4"/>
      <c r="AF24" s="4"/>
      <c r="AG24" s="4"/>
      <c r="AI24" s="75"/>
      <c r="AJ24" s="4"/>
      <c r="AK24" s="4"/>
      <c r="AL24" s="4"/>
      <c r="AN24" s="75"/>
      <c r="AO24" s="4"/>
    </row>
    <row r="25" spans="2:41">
      <c r="B25" s="71" t="s">
        <v>63</v>
      </c>
      <c r="C25" s="188">
        <v>1</v>
      </c>
      <c r="D25" s="75" t="s">
        <v>33</v>
      </c>
      <c r="E25" s="74">
        <v>0.85</v>
      </c>
      <c r="F25" s="2"/>
      <c r="H25" s="1"/>
      <c r="I25" s="75" t="s">
        <v>33</v>
      </c>
      <c r="J25" s="74">
        <v>0.9</v>
      </c>
      <c r="K25" s="76"/>
      <c r="M25" s="1"/>
      <c r="N25" s="75" t="s">
        <v>33</v>
      </c>
      <c r="O25" s="74">
        <v>0.875</v>
      </c>
      <c r="P25" s="76"/>
      <c r="R25" s="1"/>
      <c r="S25" s="75" t="s">
        <v>33</v>
      </c>
      <c r="T25" s="74">
        <v>0.95</v>
      </c>
      <c r="U25" s="76"/>
      <c r="W25" s="1"/>
      <c r="X25" s="75" t="s">
        <v>33</v>
      </c>
      <c r="Y25" s="74">
        <v>0.9</v>
      </c>
      <c r="Z25" s="70"/>
      <c r="AB25" s="1"/>
      <c r="AD25" s="75"/>
      <c r="AE25" s="4"/>
      <c r="AF25" s="4"/>
      <c r="AG25" s="4"/>
      <c r="AI25" s="75"/>
      <c r="AJ25" s="4"/>
      <c r="AK25" s="4"/>
      <c r="AL25" s="4"/>
      <c r="AN25" s="75"/>
      <c r="AO25" s="4"/>
    </row>
    <row r="26" spans="2:41">
      <c r="B26" s="71" t="s">
        <v>63</v>
      </c>
      <c r="C26" s="188">
        <v>1</v>
      </c>
      <c r="D26" s="75"/>
      <c r="E26" s="74"/>
      <c r="F26" s="2"/>
      <c r="H26" s="1"/>
      <c r="I26" s="75"/>
      <c r="J26" s="74"/>
      <c r="K26" s="76"/>
      <c r="M26" s="1"/>
      <c r="N26" s="75"/>
      <c r="O26" s="74">
        <v>0.925</v>
      </c>
      <c r="P26" s="76"/>
      <c r="R26" s="1"/>
      <c r="S26" s="75"/>
      <c r="T26" s="74"/>
      <c r="U26" s="76"/>
      <c r="W26" s="1"/>
      <c r="X26" s="75"/>
      <c r="Y26" s="74">
        <v>0.95</v>
      </c>
      <c r="Z26" s="70"/>
      <c r="AB26" s="1"/>
      <c r="AD26" s="75"/>
      <c r="AE26" s="4"/>
      <c r="AF26" s="4"/>
      <c r="AG26" s="4"/>
      <c r="AI26" s="75"/>
      <c r="AJ26" s="4"/>
      <c r="AK26" s="4"/>
      <c r="AL26" s="4"/>
      <c r="AN26" s="75"/>
      <c r="AO26" s="4"/>
    </row>
    <row r="27" spans="2:41">
      <c r="B27" s="77" t="s">
        <v>63</v>
      </c>
      <c r="C27" s="247">
        <v>1</v>
      </c>
      <c r="D27" s="82"/>
      <c r="E27" s="80"/>
      <c r="F27" s="81"/>
      <c r="G27" s="33"/>
      <c r="H27" s="34"/>
      <c r="I27" s="82"/>
      <c r="J27" s="80"/>
      <c r="K27" s="83"/>
      <c r="L27" s="33"/>
      <c r="M27" s="34"/>
      <c r="N27" s="82"/>
      <c r="O27" s="80">
        <v>0.975</v>
      </c>
      <c r="P27" s="83"/>
      <c r="Q27" s="33"/>
      <c r="R27" s="34"/>
      <c r="S27" s="82"/>
      <c r="T27" s="80"/>
      <c r="U27" s="83"/>
      <c r="V27" s="33"/>
      <c r="W27" s="34"/>
      <c r="X27" s="82"/>
      <c r="Y27" s="80">
        <v>1</v>
      </c>
      <c r="Z27" s="70"/>
      <c r="AB27" s="1"/>
      <c r="AD27" s="75"/>
      <c r="AE27" s="4"/>
      <c r="AF27" s="4"/>
      <c r="AG27" s="4"/>
      <c r="AI27" s="75"/>
      <c r="AJ27" s="4"/>
      <c r="AK27" s="4"/>
      <c r="AL27" s="4"/>
      <c r="AN27" s="75"/>
      <c r="AO27" s="4"/>
    </row>
    <row r="28" hidden="1" spans="2:41">
      <c r="B28" s="71" t="s">
        <v>64</v>
      </c>
      <c r="C28" s="188">
        <v>1</v>
      </c>
      <c r="D28" s="75" t="s">
        <v>65</v>
      </c>
      <c r="E28" s="74"/>
      <c r="H28" s="1"/>
      <c r="I28" s="75" t="s">
        <v>65</v>
      </c>
      <c r="J28" s="74"/>
      <c r="K28" s="70"/>
      <c r="M28" s="1"/>
      <c r="N28" s="75" t="s">
        <v>65</v>
      </c>
      <c r="O28" s="74"/>
      <c r="P28" s="70"/>
      <c r="R28" s="1"/>
      <c r="S28" s="75" t="s">
        <v>65</v>
      </c>
      <c r="T28" s="74"/>
      <c r="U28" s="70"/>
      <c r="W28" s="1"/>
      <c r="X28" s="75" t="s">
        <v>65</v>
      </c>
      <c r="Y28" s="74"/>
      <c r="Z28" s="70"/>
      <c r="AB28" s="1"/>
      <c r="AD28" s="75"/>
      <c r="AE28" s="4"/>
      <c r="AF28" s="4"/>
      <c r="AG28" s="4"/>
      <c r="AI28" s="75"/>
      <c r="AJ28" s="4"/>
      <c r="AK28" s="4"/>
      <c r="AL28" s="4"/>
      <c r="AN28" s="75"/>
      <c r="AO28" s="4"/>
    </row>
    <row r="29" hidden="1" spans="2:41">
      <c r="B29" s="71" t="s">
        <v>64</v>
      </c>
      <c r="C29" s="188">
        <v>1</v>
      </c>
      <c r="D29" s="75"/>
      <c r="E29" s="74"/>
      <c r="H29" s="1"/>
      <c r="I29" s="75"/>
      <c r="J29" s="74"/>
      <c r="K29" s="70"/>
      <c r="M29" s="1"/>
      <c r="N29" s="75"/>
      <c r="O29" s="74"/>
      <c r="P29" s="70"/>
      <c r="R29" s="1"/>
      <c r="S29" s="75"/>
      <c r="T29" s="74"/>
      <c r="U29" s="70"/>
      <c r="W29" s="1"/>
      <c r="X29" s="75"/>
      <c r="Y29" s="74"/>
      <c r="Z29" s="70"/>
      <c r="AB29" s="1"/>
      <c r="AD29" s="75"/>
      <c r="AE29" s="4"/>
      <c r="AF29" s="4"/>
      <c r="AG29" s="4"/>
      <c r="AI29" s="75"/>
      <c r="AJ29" s="4"/>
      <c r="AK29" s="4"/>
      <c r="AL29" s="4"/>
      <c r="AN29" s="75"/>
      <c r="AO29" s="4"/>
    </row>
    <row r="30" hidden="1" spans="2:41">
      <c r="B30" s="77" t="s">
        <v>64</v>
      </c>
      <c r="C30" s="247">
        <v>1</v>
      </c>
      <c r="D30" s="82"/>
      <c r="E30" s="80"/>
      <c r="F30" s="33"/>
      <c r="G30" s="33"/>
      <c r="H30" s="34"/>
      <c r="I30" s="82"/>
      <c r="J30" s="80"/>
      <c r="K30" s="85"/>
      <c r="L30" s="33"/>
      <c r="M30" s="34"/>
      <c r="N30" s="82"/>
      <c r="O30" s="80"/>
      <c r="P30" s="85"/>
      <c r="Q30" s="33"/>
      <c r="R30" s="34"/>
      <c r="S30" s="82"/>
      <c r="T30" s="80"/>
      <c r="U30" s="85"/>
      <c r="V30" s="33"/>
      <c r="W30" s="34"/>
      <c r="X30" s="82"/>
      <c r="Y30" s="80"/>
      <c r="Z30" s="70"/>
      <c r="AB30" s="1"/>
      <c r="AD30" s="75"/>
      <c r="AE30" s="4"/>
      <c r="AF30" s="4"/>
      <c r="AG30" s="4"/>
      <c r="AI30" s="75"/>
      <c r="AJ30" s="4"/>
      <c r="AK30" s="4"/>
      <c r="AL30" s="4"/>
      <c r="AN30" s="75"/>
      <c r="AO30" s="4"/>
    </row>
    <row r="31" hidden="1" spans="2:41">
      <c r="B31" s="71" t="s">
        <v>66</v>
      </c>
      <c r="C31" s="188">
        <v>1</v>
      </c>
      <c r="D31" s="75" t="s">
        <v>65</v>
      </c>
      <c r="E31" s="74"/>
      <c r="H31" s="1"/>
      <c r="I31" s="75" t="s">
        <v>65</v>
      </c>
      <c r="J31" s="74"/>
      <c r="K31" s="70"/>
      <c r="M31" s="1"/>
      <c r="N31" s="75" t="s">
        <v>65</v>
      </c>
      <c r="O31" s="74"/>
      <c r="P31" s="70"/>
      <c r="R31" s="1"/>
      <c r="S31" s="75" t="s">
        <v>65</v>
      </c>
      <c r="T31" s="74"/>
      <c r="U31" s="70"/>
      <c r="W31" s="1"/>
      <c r="X31" s="75" t="s">
        <v>65</v>
      </c>
      <c r="Y31" s="74"/>
      <c r="Z31" s="70"/>
      <c r="AB31" s="1"/>
      <c r="AD31" s="75"/>
      <c r="AE31" s="4"/>
      <c r="AF31" s="4"/>
      <c r="AG31" s="4"/>
      <c r="AI31" s="75"/>
      <c r="AJ31" s="4"/>
      <c r="AK31" s="4"/>
      <c r="AL31" s="4"/>
      <c r="AN31" s="75"/>
      <c r="AO31" s="4"/>
    </row>
    <row r="32" hidden="1" spans="2:41">
      <c r="B32" s="71" t="s">
        <v>66</v>
      </c>
      <c r="C32" s="188">
        <v>1</v>
      </c>
      <c r="D32" s="75"/>
      <c r="E32" s="74"/>
      <c r="H32" s="1"/>
      <c r="I32" s="75"/>
      <c r="J32" s="74"/>
      <c r="K32" s="70"/>
      <c r="M32" s="1"/>
      <c r="N32" s="75"/>
      <c r="O32" s="74"/>
      <c r="P32" s="70"/>
      <c r="R32" s="1"/>
      <c r="S32" s="75"/>
      <c r="T32" s="74"/>
      <c r="U32" s="70"/>
      <c r="W32" s="1"/>
      <c r="X32" s="75"/>
      <c r="Y32" s="74"/>
      <c r="Z32" s="70"/>
      <c r="AB32" s="1"/>
      <c r="AD32" s="75"/>
      <c r="AE32" s="4"/>
      <c r="AF32" s="4"/>
      <c r="AG32" s="4"/>
      <c r="AI32" s="75"/>
      <c r="AJ32" s="4"/>
      <c r="AK32" s="4"/>
      <c r="AL32" s="4"/>
      <c r="AN32" s="75"/>
      <c r="AO32" s="4"/>
    </row>
    <row r="33" hidden="1" spans="2:41">
      <c r="B33" s="77" t="s">
        <v>66</v>
      </c>
      <c r="C33" s="247">
        <v>1</v>
      </c>
      <c r="D33" s="82"/>
      <c r="E33" s="80"/>
      <c r="F33" s="33"/>
      <c r="G33" s="33"/>
      <c r="H33" s="34"/>
      <c r="I33" s="82"/>
      <c r="J33" s="80"/>
      <c r="K33" s="85"/>
      <c r="L33" s="33"/>
      <c r="M33" s="34"/>
      <c r="N33" s="82"/>
      <c r="O33" s="80"/>
      <c r="P33" s="85"/>
      <c r="Q33" s="33"/>
      <c r="R33" s="34"/>
      <c r="S33" s="82"/>
      <c r="T33" s="80"/>
      <c r="U33" s="85"/>
      <c r="V33" s="33"/>
      <c r="W33" s="34"/>
      <c r="X33" s="82"/>
      <c r="Y33" s="80"/>
      <c r="Z33" s="70"/>
      <c r="AB33" s="1"/>
      <c r="AD33" s="75"/>
      <c r="AE33" s="4"/>
      <c r="AF33" s="4"/>
      <c r="AG33" s="4"/>
      <c r="AI33" s="75"/>
      <c r="AJ33" s="4"/>
      <c r="AK33" s="4"/>
      <c r="AL33" s="4"/>
      <c r="AN33" s="75"/>
      <c r="AO33" s="4"/>
    </row>
    <row r="34" spans="2:41">
      <c r="B34" s="86" t="s">
        <v>67</v>
      </c>
      <c r="C34" s="188"/>
      <c r="D34" s="88"/>
      <c r="E34" s="74"/>
      <c r="H34" s="1"/>
      <c r="I34" s="88"/>
      <c r="J34" s="74"/>
      <c r="M34" s="1"/>
      <c r="N34" s="88"/>
      <c r="O34" s="74"/>
      <c r="R34" s="1"/>
      <c r="S34" s="88"/>
      <c r="T34" s="74"/>
      <c r="U34" s="70"/>
      <c r="W34" s="1"/>
      <c r="X34" s="88"/>
      <c r="Y34" s="74"/>
      <c r="Z34" s="70"/>
      <c r="AB34" s="1"/>
      <c r="AD34" s="88"/>
      <c r="AE34" s="4"/>
      <c r="AF34" s="4"/>
      <c r="AG34" s="4"/>
      <c r="AI34" s="88"/>
      <c r="AJ34" s="4"/>
      <c r="AK34" s="4"/>
      <c r="AL34" s="4"/>
      <c r="AN34" s="88"/>
      <c r="AO34" s="4"/>
    </row>
    <row r="35" spans="2:41">
      <c r="B35" s="71" t="s">
        <v>57</v>
      </c>
      <c r="C35" s="191">
        <v>2</v>
      </c>
      <c r="D35" s="75" t="s">
        <v>29</v>
      </c>
      <c r="E35" s="74">
        <v>0.6</v>
      </c>
      <c r="H35" s="1"/>
      <c r="I35" s="75" t="s">
        <v>29</v>
      </c>
      <c r="J35" s="74">
        <v>0.65</v>
      </c>
      <c r="M35" s="1"/>
      <c r="N35" s="75" t="s">
        <v>29</v>
      </c>
      <c r="O35" s="74">
        <v>0.7</v>
      </c>
      <c r="R35" s="1"/>
      <c r="S35" s="75" t="s">
        <v>29</v>
      </c>
      <c r="T35" s="74">
        <v>0.75</v>
      </c>
      <c r="U35" s="70"/>
      <c r="W35" s="1"/>
      <c r="X35" s="75" t="s">
        <v>29</v>
      </c>
      <c r="Y35" s="74">
        <v>0.55</v>
      </c>
      <c r="Z35" s="70"/>
      <c r="AB35" s="1"/>
      <c r="AD35" s="75"/>
      <c r="AE35" s="4"/>
      <c r="AF35" s="4"/>
      <c r="AG35" s="4"/>
      <c r="AI35" s="75"/>
      <c r="AJ35" s="4"/>
      <c r="AK35" s="4"/>
      <c r="AL35" s="4"/>
      <c r="AN35" s="75"/>
      <c r="AO35" s="4"/>
    </row>
    <row r="36" spans="2:41">
      <c r="B36" s="77" t="s">
        <v>57</v>
      </c>
      <c r="C36" s="248">
        <v>2</v>
      </c>
      <c r="D36" s="82"/>
      <c r="E36" s="80"/>
      <c r="F36" s="33"/>
      <c r="G36" s="33"/>
      <c r="H36" s="34"/>
      <c r="I36" s="82"/>
      <c r="J36" s="80"/>
      <c r="K36" s="33"/>
      <c r="L36" s="33"/>
      <c r="M36" s="34"/>
      <c r="N36" s="82"/>
      <c r="O36" s="80"/>
      <c r="P36" s="33"/>
      <c r="Q36" s="33"/>
      <c r="R36" s="34"/>
      <c r="S36" s="82"/>
      <c r="T36" s="80"/>
      <c r="U36" s="85"/>
      <c r="V36" s="33"/>
      <c r="W36" s="34"/>
      <c r="X36" s="82"/>
      <c r="Y36" s="80"/>
      <c r="Z36" s="70"/>
      <c r="AB36" s="1"/>
      <c r="AD36" s="75"/>
      <c r="AE36" s="4"/>
      <c r="AF36" s="4"/>
      <c r="AG36" s="4"/>
      <c r="AI36" s="75"/>
      <c r="AJ36" s="4"/>
      <c r="AK36" s="4"/>
      <c r="AL36" s="4"/>
      <c r="AN36" s="75"/>
      <c r="AO36" s="4"/>
    </row>
    <row r="37" spans="2:41">
      <c r="B37" s="71" t="s">
        <v>58</v>
      </c>
      <c r="C37" s="191">
        <v>2</v>
      </c>
      <c r="D37" s="75" t="s">
        <v>68</v>
      </c>
      <c r="E37" s="74">
        <v>0.7</v>
      </c>
      <c r="H37" s="1"/>
      <c r="I37" s="75" t="s">
        <v>68</v>
      </c>
      <c r="J37" s="74">
        <v>0.75</v>
      </c>
      <c r="M37" s="1"/>
      <c r="N37" s="75" t="s">
        <v>68</v>
      </c>
      <c r="O37" s="74">
        <v>0.8</v>
      </c>
      <c r="R37" s="1"/>
      <c r="S37" s="75" t="s">
        <v>27</v>
      </c>
      <c r="T37" s="74">
        <v>0.775</v>
      </c>
      <c r="U37" s="70"/>
      <c r="W37" s="1"/>
      <c r="X37" s="75" t="s">
        <v>27</v>
      </c>
      <c r="Y37" s="74">
        <v>0.6</v>
      </c>
      <c r="Z37" s="70"/>
      <c r="AB37" s="1"/>
      <c r="AD37" s="75"/>
      <c r="AE37" s="4"/>
      <c r="AF37" s="4"/>
      <c r="AG37" s="75"/>
      <c r="AI37" s="249"/>
      <c r="AJ37" s="4"/>
      <c r="AK37" s="4"/>
      <c r="AL37" s="4"/>
      <c r="AN37" s="75"/>
      <c r="AO37" s="4"/>
    </row>
    <row r="38" spans="2:41">
      <c r="B38" s="77" t="s">
        <v>58</v>
      </c>
      <c r="C38" s="248">
        <v>2</v>
      </c>
      <c r="D38" s="82"/>
      <c r="E38" s="80"/>
      <c r="F38" s="33"/>
      <c r="G38" s="33"/>
      <c r="H38" s="34"/>
      <c r="I38" s="82"/>
      <c r="J38" s="80"/>
      <c r="K38" s="33"/>
      <c r="L38" s="33"/>
      <c r="M38" s="34"/>
      <c r="N38" s="82"/>
      <c r="O38" s="80"/>
      <c r="P38" s="33"/>
      <c r="Q38" s="33"/>
      <c r="R38" s="34"/>
      <c r="S38" s="82"/>
      <c r="T38" s="80"/>
      <c r="U38" s="85"/>
      <c r="V38" s="33"/>
      <c r="W38" s="34"/>
      <c r="X38" s="82"/>
      <c r="Y38" s="80"/>
      <c r="Z38" s="70"/>
      <c r="AB38" s="1"/>
      <c r="AD38" s="75"/>
      <c r="AE38" s="4"/>
      <c r="AF38" s="4"/>
      <c r="AG38" s="4"/>
      <c r="AI38" s="75"/>
      <c r="AJ38" s="4"/>
      <c r="AK38" s="4"/>
      <c r="AL38" s="4"/>
      <c r="AN38" s="75"/>
      <c r="AO38" s="4"/>
    </row>
    <row r="39" spans="2:41">
      <c r="B39" s="71" t="s">
        <v>59</v>
      </c>
      <c r="C39" s="191">
        <v>2</v>
      </c>
      <c r="D39" s="75" t="s">
        <v>69</v>
      </c>
      <c r="E39" s="74">
        <v>0.6</v>
      </c>
      <c r="H39" s="1"/>
      <c r="I39" s="75" t="s">
        <v>69</v>
      </c>
      <c r="J39" s="74">
        <v>0.65</v>
      </c>
      <c r="M39" s="1"/>
      <c r="N39" s="75" t="s">
        <v>69</v>
      </c>
      <c r="O39" s="74">
        <v>0.7</v>
      </c>
      <c r="R39" s="1"/>
      <c r="S39" s="75" t="s">
        <v>69</v>
      </c>
      <c r="T39" s="74">
        <v>0.75</v>
      </c>
      <c r="U39" s="70"/>
      <c r="W39" s="1"/>
      <c r="X39" s="75" t="s">
        <v>69</v>
      </c>
      <c r="Y39" s="74">
        <v>0.55</v>
      </c>
      <c r="Z39" s="70"/>
      <c r="AB39" s="1"/>
      <c r="AD39" s="75"/>
      <c r="AE39" s="4"/>
      <c r="AF39" s="4"/>
      <c r="AG39" s="4"/>
      <c r="AI39" s="75"/>
      <c r="AJ39" s="4"/>
      <c r="AK39" s="4"/>
      <c r="AL39" s="4"/>
      <c r="AN39" s="75"/>
      <c r="AO39" s="4"/>
    </row>
    <row r="40" spans="2:41">
      <c r="B40" s="77" t="s">
        <v>59</v>
      </c>
      <c r="C40" s="248">
        <v>2</v>
      </c>
      <c r="D40" s="82"/>
      <c r="E40" s="80"/>
      <c r="F40" s="33"/>
      <c r="G40" s="33"/>
      <c r="H40" s="34"/>
      <c r="I40" s="82"/>
      <c r="J40" s="80"/>
      <c r="K40" s="33"/>
      <c r="L40" s="33"/>
      <c r="M40" s="34"/>
      <c r="N40" s="82"/>
      <c r="O40" s="80"/>
      <c r="P40" s="33"/>
      <c r="Q40" s="33"/>
      <c r="R40" s="34"/>
      <c r="S40" s="82"/>
      <c r="T40" s="80"/>
      <c r="U40" s="85"/>
      <c r="V40" s="33"/>
      <c r="W40" s="34"/>
      <c r="X40" s="82"/>
      <c r="Y40" s="80"/>
      <c r="Z40" s="70"/>
      <c r="AB40" s="1"/>
      <c r="AD40" s="75"/>
      <c r="AE40" s="4"/>
      <c r="AF40" s="4"/>
      <c r="AG40" s="4"/>
      <c r="AI40" s="75"/>
      <c r="AJ40" s="4"/>
      <c r="AK40" s="4"/>
      <c r="AL40" s="4"/>
      <c r="AN40" s="75"/>
      <c r="AO40" s="4"/>
    </row>
    <row r="41" spans="2:41">
      <c r="B41" s="71" t="s">
        <v>61</v>
      </c>
      <c r="C41" s="191">
        <v>2</v>
      </c>
      <c r="D41" s="75" t="s">
        <v>70</v>
      </c>
      <c r="E41" s="74">
        <v>0.6</v>
      </c>
      <c r="H41" s="1"/>
      <c r="I41" s="75" t="s">
        <v>70</v>
      </c>
      <c r="J41" s="74">
        <v>0.65</v>
      </c>
      <c r="M41" s="1"/>
      <c r="N41" s="75" t="s">
        <v>70</v>
      </c>
      <c r="O41" s="74">
        <v>0.7</v>
      </c>
      <c r="R41" s="1"/>
      <c r="S41" s="75" t="s">
        <v>36</v>
      </c>
      <c r="T41" s="74">
        <v>0.75</v>
      </c>
      <c r="U41" s="70"/>
      <c r="W41" s="1"/>
      <c r="X41" s="75" t="s">
        <v>36</v>
      </c>
      <c r="Y41" s="74">
        <v>0.55</v>
      </c>
      <c r="Z41" s="70"/>
      <c r="AB41" s="1"/>
      <c r="AD41" s="75"/>
      <c r="AE41" s="4"/>
      <c r="AF41" s="4"/>
      <c r="AG41" s="4"/>
      <c r="AI41" s="75"/>
      <c r="AJ41" s="4"/>
      <c r="AK41" s="4"/>
      <c r="AL41" s="4"/>
      <c r="AN41" s="75"/>
      <c r="AO41" s="4"/>
    </row>
    <row r="42" spans="2:41">
      <c r="B42" s="77" t="s">
        <v>61</v>
      </c>
      <c r="C42" s="248">
        <v>2</v>
      </c>
      <c r="D42" s="82"/>
      <c r="E42" s="80"/>
      <c r="F42" s="33"/>
      <c r="G42" s="33"/>
      <c r="H42" s="34"/>
      <c r="I42" s="82"/>
      <c r="J42" s="80"/>
      <c r="K42" s="33"/>
      <c r="L42" s="33"/>
      <c r="M42" s="34"/>
      <c r="N42" s="82"/>
      <c r="O42" s="80"/>
      <c r="P42" s="33"/>
      <c r="Q42" s="33"/>
      <c r="R42" s="34"/>
      <c r="S42" s="82"/>
      <c r="T42" s="80"/>
      <c r="U42" s="85"/>
      <c r="V42" s="33"/>
      <c r="W42" s="34"/>
      <c r="X42" s="82"/>
      <c r="Y42" s="80"/>
      <c r="Z42" s="70"/>
      <c r="AB42" s="1"/>
      <c r="AD42" s="75"/>
      <c r="AE42" s="4"/>
      <c r="AF42" s="4"/>
      <c r="AG42" s="4"/>
      <c r="AI42" s="75"/>
      <c r="AJ42" s="4"/>
      <c r="AK42" s="4"/>
      <c r="AL42" s="4"/>
      <c r="AN42" s="75"/>
      <c r="AO42" s="4"/>
    </row>
    <row r="43" spans="2:41">
      <c r="B43" s="71" t="s">
        <v>63</v>
      </c>
      <c r="C43" s="191">
        <v>2</v>
      </c>
      <c r="D43" s="75" t="s">
        <v>71</v>
      </c>
      <c r="E43" s="74">
        <v>0.65</v>
      </c>
      <c r="H43" s="1"/>
      <c r="I43" s="75" t="s">
        <v>71</v>
      </c>
      <c r="J43" s="74">
        <v>0.7</v>
      </c>
      <c r="M43" s="1"/>
      <c r="N43" s="75" t="s">
        <v>71</v>
      </c>
      <c r="O43" s="74">
        <v>0.75</v>
      </c>
      <c r="R43" s="1"/>
      <c r="S43" s="75" t="s">
        <v>71</v>
      </c>
      <c r="T43" s="74">
        <v>0.8</v>
      </c>
      <c r="U43" s="70"/>
      <c r="W43" s="1"/>
      <c r="X43" s="75" t="s">
        <v>71</v>
      </c>
      <c r="Y43" s="74">
        <v>0.6</v>
      </c>
      <c r="Z43" s="70"/>
      <c r="AB43" s="1"/>
      <c r="AD43" s="75"/>
      <c r="AE43" s="4"/>
      <c r="AF43" s="4"/>
      <c r="AG43" s="4"/>
      <c r="AI43" s="75"/>
      <c r="AJ43" s="4"/>
      <c r="AK43" s="4"/>
      <c r="AL43" s="4"/>
      <c r="AN43" s="75"/>
      <c r="AO43" s="4"/>
    </row>
    <row r="44" spans="2:41">
      <c r="B44" s="77" t="s">
        <v>63</v>
      </c>
      <c r="C44" s="248">
        <v>2</v>
      </c>
      <c r="D44" s="82"/>
      <c r="E44" s="80"/>
      <c r="F44" s="33"/>
      <c r="G44" s="33"/>
      <c r="H44" s="34"/>
      <c r="I44" s="82"/>
      <c r="J44" s="80"/>
      <c r="K44" s="33"/>
      <c r="L44" s="33"/>
      <c r="M44" s="34"/>
      <c r="N44" s="82"/>
      <c r="O44" s="80"/>
      <c r="P44" s="33"/>
      <c r="Q44" s="33"/>
      <c r="R44" s="34"/>
      <c r="S44" s="82"/>
      <c r="T44" s="80"/>
      <c r="U44" s="85"/>
      <c r="V44" s="33"/>
      <c r="W44" s="34"/>
      <c r="X44" s="82"/>
      <c r="Y44" s="80"/>
      <c r="Z44" s="70"/>
      <c r="AB44" s="1"/>
      <c r="AD44" s="75"/>
      <c r="AE44" s="4"/>
      <c r="AF44" s="4"/>
      <c r="AG44" s="4"/>
      <c r="AI44" s="75"/>
      <c r="AJ44" s="4"/>
      <c r="AK44" s="4"/>
      <c r="AL44" s="4"/>
      <c r="AN44" s="75"/>
      <c r="AO44" s="4"/>
    </row>
    <row r="45" spans="2:41">
      <c r="B45" s="71" t="s">
        <v>64</v>
      </c>
      <c r="C45" s="191">
        <v>2</v>
      </c>
      <c r="D45" s="75" t="s">
        <v>65</v>
      </c>
      <c r="E45" s="74"/>
      <c r="H45" s="1"/>
      <c r="I45" s="75" t="s">
        <v>65</v>
      </c>
      <c r="J45" s="74"/>
      <c r="M45" s="1"/>
      <c r="N45" s="75" t="s">
        <v>65</v>
      </c>
      <c r="O45" s="74"/>
      <c r="R45" s="1"/>
      <c r="S45" s="75" t="s">
        <v>65</v>
      </c>
      <c r="T45" s="74"/>
      <c r="U45" s="70"/>
      <c r="W45" s="1"/>
      <c r="X45" s="75" t="s">
        <v>65</v>
      </c>
      <c r="Y45" s="74"/>
      <c r="Z45" s="70"/>
      <c r="AB45" s="1"/>
      <c r="AD45" s="75"/>
      <c r="AE45" s="4"/>
      <c r="AF45" s="4"/>
      <c r="AG45" s="4"/>
      <c r="AI45" s="75"/>
      <c r="AJ45" s="4"/>
      <c r="AK45" s="4"/>
      <c r="AL45" s="4"/>
      <c r="AN45" s="75"/>
      <c r="AO45" s="4"/>
    </row>
    <row r="46" spans="2:41">
      <c r="B46" s="77" t="s">
        <v>64</v>
      </c>
      <c r="C46" s="248">
        <v>2</v>
      </c>
      <c r="D46" s="82"/>
      <c r="E46" s="80"/>
      <c r="F46" s="33"/>
      <c r="G46" s="33"/>
      <c r="H46" s="34"/>
      <c r="I46" s="82"/>
      <c r="J46" s="80"/>
      <c r="K46" s="33"/>
      <c r="L46" s="33"/>
      <c r="M46" s="34"/>
      <c r="N46" s="82"/>
      <c r="O46" s="80"/>
      <c r="P46" s="33"/>
      <c r="Q46" s="33"/>
      <c r="R46" s="34"/>
      <c r="S46" s="82"/>
      <c r="T46" s="80"/>
      <c r="U46" s="85"/>
      <c r="V46" s="33"/>
      <c r="W46" s="34"/>
      <c r="X46" s="82"/>
      <c r="Y46" s="80"/>
      <c r="Z46" s="70"/>
      <c r="AB46" s="1"/>
      <c r="AD46" s="75"/>
      <c r="AE46" s="4"/>
      <c r="AF46" s="4"/>
      <c r="AG46" s="4"/>
      <c r="AI46" s="75"/>
      <c r="AJ46" s="4"/>
      <c r="AK46" s="4"/>
      <c r="AL46" s="4"/>
      <c r="AN46" s="75"/>
      <c r="AO46" s="4"/>
    </row>
    <row r="47" spans="2:41">
      <c r="B47" s="71" t="s">
        <v>66</v>
      </c>
      <c r="C47" s="191">
        <v>2</v>
      </c>
      <c r="D47" s="99" t="s">
        <v>65</v>
      </c>
      <c r="E47" s="74"/>
      <c r="H47" s="1"/>
      <c r="I47" s="250" t="s">
        <v>65</v>
      </c>
      <c r="J47" s="74"/>
      <c r="M47" s="1"/>
      <c r="N47" s="250" t="s">
        <v>65</v>
      </c>
      <c r="O47" s="74"/>
      <c r="R47" s="1"/>
      <c r="S47" s="250" t="s">
        <v>65</v>
      </c>
      <c r="T47" s="74"/>
      <c r="U47" s="70"/>
      <c r="W47" s="1"/>
      <c r="X47" s="250" t="s">
        <v>65</v>
      </c>
      <c r="Y47" s="74"/>
      <c r="Z47" s="70"/>
      <c r="AB47" s="1"/>
      <c r="AD47" s="75"/>
      <c r="AE47" s="4"/>
      <c r="AF47" s="4"/>
      <c r="AG47" s="4"/>
      <c r="AI47" s="75"/>
      <c r="AJ47" s="4"/>
      <c r="AK47" s="4"/>
      <c r="AL47" s="4"/>
      <c r="AN47" s="75"/>
      <c r="AO47" s="4"/>
    </row>
    <row r="48" spans="2:41">
      <c r="B48" s="77" t="s">
        <v>66</v>
      </c>
      <c r="C48" s="248">
        <v>2</v>
      </c>
      <c r="D48" s="101"/>
      <c r="E48" s="80"/>
      <c r="F48" s="33"/>
      <c r="G48" s="33"/>
      <c r="H48" s="34"/>
      <c r="I48" s="84"/>
      <c r="J48" s="80"/>
      <c r="K48" s="33"/>
      <c r="L48" s="33"/>
      <c r="M48" s="34"/>
      <c r="N48" s="84"/>
      <c r="O48" s="80"/>
      <c r="P48" s="33"/>
      <c r="Q48" s="33"/>
      <c r="R48" s="34"/>
      <c r="S48" s="84"/>
      <c r="T48" s="80"/>
      <c r="U48" s="85"/>
      <c r="V48" s="33"/>
      <c r="W48" s="34"/>
      <c r="X48" s="84"/>
      <c r="Y48" s="80"/>
      <c r="Z48" s="70"/>
      <c r="AB48" s="1"/>
      <c r="AD48" s="75"/>
      <c r="AE48" s="4"/>
      <c r="AF48" s="4"/>
      <c r="AG48" s="4"/>
      <c r="AI48" s="75"/>
      <c r="AJ48" s="4"/>
      <c r="AK48" s="4"/>
      <c r="AL48" s="4"/>
      <c r="AN48" s="75"/>
      <c r="AO48" s="4"/>
    </row>
    <row r="49" spans="2:43">
      <c r="B49" s="23"/>
      <c r="C49" s="102"/>
      <c r="D49" s="75"/>
      <c r="H49" s="1"/>
      <c r="I49" s="75"/>
      <c r="M49" s="1"/>
      <c r="N49" s="75"/>
      <c r="R49" s="1"/>
      <c r="S49" s="75"/>
      <c r="W49" s="1"/>
      <c r="X49" s="75"/>
      <c r="AB49" s="1"/>
    </row>
    <row r="50" ht="18" customHeight="1" spans="2:43">
      <c r="B50" s="251" t="s">
        <v>72</v>
      </c>
      <c r="C50" s="4"/>
      <c r="D50" s="4"/>
      <c r="F50" s="1"/>
      <c r="G50" s="75"/>
      <c r="H50" s="4"/>
      <c r="I50" s="4"/>
      <c r="K50" s="1"/>
      <c r="L50" s="75"/>
      <c r="M50" s="4"/>
      <c r="N50" s="4"/>
      <c r="O50" s="33"/>
      <c r="P50" s="33"/>
      <c r="Q50" s="33"/>
      <c r="R50" s="252" t="s">
        <v>73</v>
      </c>
      <c r="T50" s="33"/>
      <c r="U50" s="33"/>
      <c r="V50" s="34"/>
      <c r="W50" s="34"/>
      <c r="X50" s="82"/>
      <c r="Y50" s="33"/>
      <c r="Z50" s="33"/>
      <c r="AA50" s="33"/>
      <c r="AB50" s="34"/>
      <c r="AC50" s="34"/>
      <c r="AD50" s="34"/>
      <c r="AE50" s="242"/>
      <c r="AF50" s="34"/>
      <c r="AG50" s="34"/>
      <c r="AH50" s="34"/>
    </row>
    <row r="51" spans="2:43">
      <c r="B51" s="199" t="s">
        <v>74</v>
      </c>
      <c r="C51" s="253" t="s">
        <v>75</v>
      </c>
      <c r="D51" s="9"/>
      <c r="E51" s="9"/>
      <c r="F51" s="10"/>
      <c r="G51" s="254"/>
      <c r="H51" s="9"/>
      <c r="I51" s="9"/>
      <c r="J51" s="9"/>
      <c r="K51" s="10"/>
      <c r="L51" s="254"/>
      <c r="M51" s="9"/>
      <c r="N51" s="9"/>
      <c r="R51" s="40" t="s">
        <v>76</v>
      </c>
      <c r="S51" s="10" t="s">
        <v>77</v>
      </c>
      <c r="V51" s="1"/>
      <c r="W51" s="1"/>
      <c r="X51" s="75"/>
      <c r="AB51" s="1"/>
    </row>
    <row r="52" spans="2:43">
      <c r="B52" s="209" t="s">
        <v>78</v>
      </c>
      <c r="C52" s="20" t="s">
        <v>79</v>
      </c>
      <c r="D52" s="4"/>
      <c r="F52" s="1"/>
      <c r="G52" s="75"/>
      <c r="H52" s="4"/>
      <c r="I52" s="4"/>
      <c r="K52" s="1"/>
      <c r="L52" s="75"/>
      <c r="M52" s="4"/>
      <c r="N52" s="4"/>
      <c r="R52" s="209" t="s">
        <v>80</v>
      </c>
      <c r="S52" s="20" t="s">
        <v>81</v>
      </c>
      <c r="V52" s="1"/>
      <c r="W52" s="1"/>
      <c r="X52" s="75"/>
      <c r="AB52" s="1"/>
    </row>
    <row r="53" spans="2:43">
      <c r="B53" s="209" t="s">
        <v>82</v>
      </c>
      <c r="C53" s="20" t="s">
        <v>83</v>
      </c>
      <c r="D53" s="4"/>
      <c r="F53" s="1"/>
      <c r="G53" s="75"/>
      <c r="H53" s="4"/>
      <c r="I53" s="4"/>
      <c r="K53" s="1"/>
      <c r="L53" s="75"/>
      <c r="M53" s="4"/>
      <c r="N53" s="4"/>
      <c r="R53" s="209" t="s">
        <v>84</v>
      </c>
      <c r="S53" s="20" t="s">
        <v>85</v>
      </c>
      <c r="V53" s="1"/>
      <c r="W53" s="1"/>
      <c r="X53" s="75"/>
      <c r="AB53" s="1"/>
    </row>
    <row r="54" spans="2:43">
      <c r="B54" s="209" t="s">
        <v>86</v>
      </c>
      <c r="C54" s="20" t="s">
        <v>87</v>
      </c>
      <c r="D54" s="4"/>
      <c r="F54" s="1"/>
      <c r="G54" s="75"/>
      <c r="H54" s="4"/>
      <c r="I54" s="4"/>
      <c r="K54" s="1"/>
      <c r="L54" s="75"/>
      <c r="M54" s="4"/>
      <c r="N54" s="4"/>
      <c r="R54" s="209" t="s">
        <v>84</v>
      </c>
      <c r="S54" s="20" t="s">
        <v>88</v>
      </c>
      <c r="V54" s="1"/>
      <c r="W54" s="1"/>
      <c r="X54" s="75"/>
      <c r="AB54" s="1"/>
    </row>
    <row r="55" spans="2:43">
      <c r="B55" s="209" t="s">
        <v>89</v>
      </c>
      <c r="C55" s="20" t="s">
        <v>90</v>
      </c>
      <c r="D55" s="4"/>
      <c r="F55" s="1"/>
      <c r="G55" s="75"/>
      <c r="H55" s="4"/>
      <c r="I55" s="4"/>
      <c r="K55" s="1"/>
      <c r="L55" s="75"/>
      <c r="M55" s="4"/>
      <c r="N55" s="4"/>
      <c r="R55" s="209" t="s">
        <v>91</v>
      </c>
      <c r="S55" s="238" t="s">
        <v>92</v>
      </c>
      <c r="V55" s="1"/>
      <c r="W55" s="1"/>
      <c r="X55" s="75"/>
      <c r="AB55" s="1"/>
    </row>
    <row r="56" ht="6" customHeight="1" spans="2:43">
      <c r="B56" s="209"/>
      <c r="C56" s="20"/>
      <c r="D56" s="4"/>
      <c r="F56" s="1"/>
      <c r="G56" s="75"/>
      <c r="H56" s="4"/>
      <c r="I56" s="4"/>
      <c r="K56" s="1"/>
      <c r="L56" s="75"/>
      <c r="M56" s="4"/>
      <c r="N56" s="4"/>
      <c r="R56" s="209"/>
      <c r="S56" s="238"/>
      <c r="V56" s="1"/>
      <c r="W56" s="1"/>
      <c r="X56" s="75"/>
      <c r="AB56" s="1"/>
    </row>
    <row r="57" spans="2:43">
      <c r="B57" s="255" t="s">
        <v>93</v>
      </c>
      <c r="D57" s="4"/>
      <c r="F57" s="1"/>
      <c r="G57" s="75"/>
      <c r="H57" s="4"/>
      <c r="I57" s="4"/>
      <c r="K57" s="1"/>
      <c r="L57" s="75"/>
      <c r="M57" s="4"/>
      <c r="N57" s="4"/>
      <c r="P57" s="1"/>
      <c r="Q57" s="75"/>
      <c r="R57" s="3"/>
      <c r="W57" s="1"/>
      <c r="X57" s="75"/>
      <c r="AB57" s="1"/>
    </row>
    <row r="58" ht="6" customHeight="1" spans="2:43">
      <c r="B58" s="23"/>
      <c r="C58" s="256"/>
      <c r="D58" s="88"/>
      <c r="H58" s="1"/>
      <c r="I58" s="75"/>
      <c r="M58" s="1"/>
      <c r="N58" s="75"/>
      <c r="R58" s="3"/>
      <c r="S58" s="75"/>
      <c r="W58" s="1"/>
      <c r="X58" s="75"/>
      <c r="AB58" s="1"/>
    </row>
    <row r="59" ht="18" customHeight="1" spans="2:43">
      <c r="B59" s="23"/>
      <c r="C59" s="49" t="s">
        <v>94</v>
      </c>
      <c r="D59" s="75"/>
      <c r="H59" s="1"/>
      <c r="I59" s="75"/>
      <c r="M59" s="1"/>
      <c r="N59" s="75"/>
      <c r="R59" s="1"/>
      <c r="S59" s="75"/>
      <c r="W59" s="1"/>
      <c r="X59" s="75"/>
      <c r="AB59" s="1"/>
    </row>
    <row r="60" spans="2:43">
      <c r="C60" s="197"/>
      <c r="D60" s="121" t="s">
        <v>45</v>
      </c>
      <c r="E60" s="119"/>
      <c r="F60" s="119"/>
      <c r="G60" s="119"/>
      <c r="H60" s="120"/>
      <c r="I60" s="118" t="s">
        <v>46</v>
      </c>
      <c r="J60" s="119"/>
      <c r="K60" s="119"/>
      <c r="L60" s="119"/>
      <c r="M60" s="120"/>
      <c r="N60" s="118" t="s">
        <v>47</v>
      </c>
      <c r="O60" s="119"/>
      <c r="P60" s="119"/>
      <c r="Q60" s="119"/>
      <c r="R60" s="120"/>
      <c r="S60" s="118" t="s">
        <v>48</v>
      </c>
      <c r="T60" s="119"/>
      <c r="U60" s="119"/>
      <c r="V60" s="119"/>
      <c r="W60" s="120"/>
      <c r="X60" s="121" t="s">
        <v>49</v>
      </c>
      <c r="Y60" s="119"/>
      <c r="Z60" s="119"/>
      <c r="AA60" s="119"/>
      <c r="AB60" s="120"/>
      <c r="AD60" s="33"/>
      <c r="AE60" s="257" t="s">
        <v>95</v>
      </c>
      <c r="AF60" s="33"/>
      <c r="AG60" s="258"/>
      <c r="AH60" s="35"/>
      <c r="AI60" s="33"/>
      <c r="AJ60" s="33"/>
      <c r="AK60" s="33"/>
      <c r="AL60" s="33"/>
      <c r="AM60" s="33"/>
      <c r="AO60" s="3"/>
      <c r="AP60" s="2"/>
      <c r="AQ60" s="2"/>
    </row>
    <row r="61" spans="2:43">
      <c r="C61" s="185"/>
      <c r="D61" s="130" t="s">
        <v>57</v>
      </c>
      <c r="E61" s="128"/>
      <c r="F61" s="128"/>
      <c r="G61" s="128"/>
      <c r="H61" s="129"/>
      <c r="I61" s="130" t="s">
        <v>57</v>
      </c>
      <c r="J61" s="128"/>
      <c r="K61" s="128"/>
      <c r="L61" s="128"/>
      <c r="M61" s="129"/>
      <c r="N61" s="130" t="s">
        <v>57</v>
      </c>
      <c r="O61" s="128"/>
      <c r="P61" s="128"/>
      <c r="Q61" s="128"/>
      <c r="R61" s="129"/>
      <c r="S61" s="130" t="s">
        <v>57</v>
      </c>
      <c r="T61" s="128"/>
      <c r="U61" s="128"/>
      <c r="V61" s="128"/>
      <c r="W61" s="129"/>
      <c r="X61" s="130" t="s">
        <v>57</v>
      </c>
      <c r="Y61" s="128"/>
      <c r="Z61" s="128"/>
      <c r="AA61" s="128"/>
      <c r="AB61" s="129"/>
      <c r="AD61" s="259" t="s">
        <v>96</v>
      </c>
      <c r="AE61" s="1" t="s">
        <v>97</v>
      </c>
      <c r="AF61" s="4"/>
      <c r="AH61" s="3"/>
      <c r="AI61" s="4"/>
      <c r="AJ61" s="4"/>
      <c r="AK61" s="4"/>
      <c r="AL61" s="4"/>
      <c r="AM61" s="4"/>
      <c r="AO61" s="3"/>
      <c r="AP61" s="260"/>
      <c r="AQ61" s="260"/>
    </row>
    <row r="62" spans="2:43">
      <c r="C62" s="187" t="s">
        <v>98</v>
      </c>
      <c r="D62" s="137" t="s">
        <v>99</v>
      </c>
      <c r="E62" s="136" t="s">
        <v>100</v>
      </c>
      <c r="F62" s="136" t="s">
        <v>101</v>
      </c>
      <c r="G62" s="136" t="s">
        <v>102</v>
      </c>
      <c r="H62" s="129"/>
      <c r="I62" s="135" t="s">
        <v>99</v>
      </c>
      <c r="J62" s="136" t="s">
        <v>100</v>
      </c>
      <c r="K62" s="136" t="s">
        <v>101</v>
      </c>
      <c r="L62" s="136" t="s">
        <v>102</v>
      </c>
      <c r="M62" s="129"/>
      <c r="N62" s="135" t="s">
        <v>99</v>
      </c>
      <c r="O62" s="136" t="s">
        <v>100</v>
      </c>
      <c r="P62" s="136" t="s">
        <v>101</v>
      </c>
      <c r="Q62" s="136" t="s">
        <v>102</v>
      </c>
      <c r="R62" s="129"/>
      <c r="S62" s="135" t="s">
        <v>99</v>
      </c>
      <c r="T62" s="136" t="s">
        <v>100</v>
      </c>
      <c r="U62" s="136" t="s">
        <v>101</v>
      </c>
      <c r="V62" s="136" t="s">
        <v>102</v>
      </c>
      <c r="W62" s="129"/>
      <c r="X62" s="137" t="s">
        <v>99</v>
      </c>
      <c r="Y62" s="136" t="s">
        <v>100</v>
      </c>
      <c r="Z62" s="136" t="s">
        <v>101</v>
      </c>
      <c r="AA62" s="136" t="s">
        <v>102</v>
      </c>
      <c r="AB62" s="129"/>
      <c r="AD62" s="261" t="s">
        <v>103</v>
      </c>
      <c r="AE62" s="1" t="s">
        <v>104</v>
      </c>
      <c r="AF62" s="4"/>
      <c r="AH62" s="3"/>
      <c r="AI62" s="4"/>
      <c r="AJ62" s="4"/>
      <c r="AK62" s="18"/>
      <c r="AL62" s="4"/>
      <c r="AM62" s="4"/>
      <c r="AO62" s="3"/>
      <c r="AP62" s="2"/>
      <c r="AQ62" s="2"/>
    </row>
    <row r="63" spans="2:43">
      <c r="C63" s="188">
        <v>1</v>
      </c>
      <c r="D63" s="3" t="str">
        <f>D13</f>
        <v>比赛深蹲</v>
      </c>
      <c r="E63" s="4">
        <f>ROUND($E$4*E$13*0.2,0)*5</f>
        <v>235</v>
      </c>
      <c r="F63" s="9">
        <v>4</v>
      </c>
      <c r="G63" s="12" t="s">
        <v>105</v>
      </c>
      <c r="H63" s="129"/>
      <c r="I63" s="3" t="str">
        <f>I13</f>
        <v>比赛深蹲</v>
      </c>
      <c r="J63" s="4">
        <f>ROUND($E$4*J$13*0.2,0)*5</f>
        <v>250</v>
      </c>
      <c r="K63" s="9">
        <v>3</v>
      </c>
      <c r="L63" s="12" t="s">
        <v>106</v>
      </c>
      <c r="M63" s="129"/>
      <c r="N63" s="3" t="str">
        <f>N13</f>
        <v>比赛深蹲</v>
      </c>
      <c r="O63" s="4">
        <f>ROUND($E$4*O13*0.2,0)*5</f>
        <v>240</v>
      </c>
      <c r="P63" s="9">
        <v>3</v>
      </c>
      <c r="Q63" s="12">
        <v>1</v>
      </c>
      <c r="R63" s="129"/>
      <c r="S63" s="3" t="str">
        <f>S13</f>
        <v>比赛深蹲</v>
      </c>
      <c r="T63" s="4">
        <f>ROUND($E$4*T13*0.2,0)*5</f>
        <v>260</v>
      </c>
      <c r="U63" s="9">
        <v>1</v>
      </c>
      <c r="V63" s="12" t="s">
        <v>107</v>
      </c>
      <c r="W63" s="129"/>
      <c r="X63" s="3" t="str">
        <f>X13</f>
        <v>比赛深蹲</v>
      </c>
      <c r="Y63" s="4">
        <f>ROUND($E$4*Y13*0.2,0)*5</f>
        <v>250</v>
      </c>
      <c r="Z63" s="9">
        <v>3</v>
      </c>
      <c r="AA63" s="12">
        <v>1</v>
      </c>
      <c r="AB63" s="129"/>
      <c r="AD63" s="261" t="s">
        <v>108</v>
      </c>
      <c r="AE63" s="1" t="s">
        <v>109</v>
      </c>
      <c r="AF63" s="4"/>
      <c r="AH63" s="3"/>
      <c r="AI63" s="4"/>
      <c r="AJ63" s="4"/>
      <c r="AK63" s="4"/>
      <c r="AL63" s="2"/>
      <c r="AM63" s="4"/>
      <c r="AO63" s="3"/>
      <c r="AP63" s="4"/>
      <c r="AQ63" s="4"/>
    </row>
    <row r="64" spans="2:43">
      <c r="C64" s="188">
        <v>1</v>
      </c>
      <c r="H64" s="129"/>
      <c r="M64" s="129"/>
      <c r="O64" s="4">
        <f t="shared" ref="O64:O65" si="0">ROUND($E$4*O14*0.2,0)*5</f>
        <v>255</v>
      </c>
      <c r="P64" s="4">
        <v>2</v>
      </c>
      <c r="Q64" s="4">
        <v>2</v>
      </c>
      <c r="R64" s="129"/>
      <c r="W64" s="129"/>
      <c r="Y64" s="4">
        <f t="shared" ref="Y64:Y65" si="1">ROUND($E$4*Y14*0.2,0)*5</f>
        <v>260</v>
      </c>
      <c r="Z64" s="4">
        <v>2</v>
      </c>
      <c r="AA64" s="4">
        <v>1</v>
      </c>
      <c r="AB64" s="129"/>
      <c r="AD64" s="3"/>
      <c r="AE64" s="4"/>
      <c r="AF64" s="4"/>
      <c r="AG64" s="4"/>
      <c r="AI64" s="3"/>
      <c r="AJ64" s="4"/>
      <c r="AK64" s="4"/>
      <c r="AL64" s="4"/>
      <c r="AN64" s="3"/>
      <c r="AO64" s="4"/>
      <c r="AP64" s="4"/>
      <c r="AQ64" s="4"/>
    </row>
    <row r="65" spans="3:43">
      <c r="C65" s="188">
        <v>1</v>
      </c>
      <c r="H65" s="129"/>
      <c r="M65" s="129"/>
      <c r="O65" s="4">
        <f t="shared" si="0"/>
        <v>270</v>
      </c>
      <c r="P65" s="4">
        <v>1</v>
      </c>
      <c r="Q65" s="4" t="s">
        <v>105</v>
      </c>
      <c r="R65" s="129"/>
      <c r="W65" s="129"/>
      <c r="Y65" s="4">
        <f t="shared" si="1"/>
        <v>275</v>
      </c>
      <c r="Z65" s="4" t="s">
        <v>24</v>
      </c>
      <c r="AA65" s="4">
        <v>1</v>
      </c>
      <c r="AB65" s="129"/>
      <c r="AD65" s="3"/>
      <c r="AE65" s="4"/>
      <c r="AF65" s="4"/>
      <c r="AG65" s="4"/>
      <c r="AI65" s="3"/>
      <c r="AJ65" s="4"/>
      <c r="AK65" s="4"/>
      <c r="AL65" s="4"/>
      <c r="AN65" s="3"/>
      <c r="AO65" s="4"/>
      <c r="AP65" s="4"/>
      <c r="AQ65" s="4"/>
    </row>
    <row r="66" spans="3:43">
      <c r="C66" s="191">
        <v>2</v>
      </c>
      <c r="D66" s="3" t="str">
        <f>D35</f>
        <v>上斜卧推</v>
      </c>
      <c r="E66" s="4">
        <f>ROUND($O$4*E$35*0.2,0)*5</f>
        <v>80</v>
      </c>
      <c r="F66" s="4">
        <v>10</v>
      </c>
      <c r="G66" s="4" t="s">
        <v>106</v>
      </c>
      <c r="H66" s="129"/>
      <c r="I66" s="3" t="str">
        <f>I35</f>
        <v>上斜卧推</v>
      </c>
      <c r="J66" s="4">
        <f>ROUND($O$4*J$35*0.2,0)*5</f>
        <v>90</v>
      </c>
      <c r="K66" s="4">
        <v>8</v>
      </c>
      <c r="L66" s="4">
        <v>4</v>
      </c>
      <c r="M66" s="129"/>
      <c r="N66" s="3" t="str">
        <f>N35</f>
        <v>上斜卧推</v>
      </c>
      <c r="O66" s="4">
        <f>ROUND($O$4*O$35*0.2,0)*5</f>
        <v>95</v>
      </c>
      <c r="P66" s="4">
        <v>6</v>
      </c>
      <c r="Q66" s="4">
        <v>4</v>
      </c>
      <c r="R66" s="129"/>
      <c r="S66" s="3" t="str">
        <f>S35</f>
        <v>上斜卧推</v>
      </c>
      <c r="T66" s="4">
        <f>ROUND($O$4*T$35*0.2,0)*5</f>
        <v>100</v>
      </c>
      <c r="U66" s="4">
        <v>5</v>
      </c>
      <c r="V66" s="4" t="s">
        <v>107</v>
      </c>
      <c r="W66" s="129"/>
      <c r="X66" s="3" t="str">
        <f>X35</f>
        <v>上斜卧推</v>
      </c>
      <c r="Y66" s="4">
        <f>ROUND($O$4*Y$35*0.2,0)*5</f>
        <v>75</v>
      </c>
      <c r="Z66" s="4" t="s">
        <v>24</v>
      </c>
      <c r="AA66" s="4">
        <v>1</v>
      </c>
      <c r="AB66" s="129"/>
      <c r="AD66" s="3"/>
      <c r="AE66" s="4"/>
      <c r="AF66" s="4"/>
      <c r="AG66" s="4"/>
      <c r="AI66" s="3"/>
      <c r="AJ66" s="4"/>
      <c r="AK66" s="262"/>
      <c r="AL66" s="262"/>
      <c r="AN66" s="3"/>
      <c r="AO66" s="4"/>
      <c r="AP66" s="4"/>
      <c r="AQ66" s="4"/>
    </row>
    <row r="67" hidden="1" spans="3:43">
      <c r="C67" s="191">
        <v>2</v>
      </c>
      <c r="E67" s="93"/>
      <c r="H67" s="129"/>
      <c r="J67" s="93"/>
      <c r="M67" s="129"/>
      <c r="O67" s="93"/>
      <c r="R67" s="129"/>
      <c r="T67" s="93"/>
      <c r="W67" s="129"/>
      <c r="Y67" s="93"/>
      <c r="AB67" s="129"/>
      <c r="AD67" s="3"/>
      <c r="AE67" s="262"/>
      <c r="AF67" s="4"/>
      <c r="AG67" s="4"/>
      <c r="AI67" s="3"/>
      <c r="AJ67" s="262"/>
      <c r="AK67" s="262"/>
      <c r="AL67" s="262"/>
      <c r="AN67" s="3"/>
      <c r="AO67" s="262"/>
      <c r="AP67" s="4"/>
      <c r="AQ67" s="4"/>
    </row>
    <row r="68" spans="3:43">
      <c r="C68" s="192">
        <v>3</v>
      </c>
      <c r="D68" s="3" t="s">
        <v>110</v>
      </c>
      <c r="E68" s="4" t="s">
        <v>111</v>
      </c>
      <c r="F68" s="4" t="s">
        <v>24</v>
      </c>
      <c r="G68" s="4">
        <v>5</v>
      </c>
      <c r="H68" s="129"/>
      <c r="I68" s="3" t="s">
        <v>110</v>
      </c>
      <c r="J68" s="4" t="s">
        <v>111</v>
      </c>
      <c r="K68" s="4" t="s">
        <v>24</v>
      </c>
      <c r="L68" s="4">
        <v>5</v>
      </c>
      <c r="M68" s="129"/>
      <c r="N68" s="3" t="s">
        <v>110</v>
      </c>
      <c r="O68" s="4" t="s">
        <v>111</v>
      </c>
      <c r="P68" s="4" t="s">
        <v>24</v>
      </c>
      <c r="Q68" s="4">
        <v>4</v>
      </c>
      <c r="R68" s="129"/>
      <c r="S68" s="3" t="s">
        <v>110</v>
      </c>
      <c r="T68" s="4" t="s">
        <v>111</v>
      </c>
      <c r="U68" s="93" t="s">
        <v>24</v>
      </c>
      <c r="V68" s="93">
        <v>3</v>
      </c>
      <c r="W68" s="129"/>
      <c r="X68" s="3" t="s">
        <v>110</v>
      </c>
      <c r="Y68" s="4" t="s">
        <v>111</v>
      </c>
      <c r="Z68" s="93" t="s">
        <v>24</v>
      </c>
      <c r="AA68" s="93">
        <v>1</v>
      </c>
      <c r="AB68" s="129"/>
      <c r="AD68" s="263"/>
      <c r="AE68" s="4"/>
      <c r="AF68" s="262"/>
      <c r="AG68" s="4"/>
      <c r="AI68" s="263"/>
      <c r="AJ68" s="262"/>
      <c r="AK68" s="262"/>
      <c r="AL68" s="262"/>
      <c r="AN68" s="263"/>
      <c r="AO68" s="4"/>
      <c r="AP68" s="262"/>
      <c r="AQ68" s="4"/>
    </row>
    <row r="69" spans="3:43">
      <c r="C69" s="192">
        <v>3</v>
      </c>
      <c r="D69" s="3" t="s">
        <v>112</v>
      </c>
      <c r="E69" s="4" t="s">
        <v>111</v>
      </c>
      <c r="F69" s="4" t="s">
        <v>24</v>
      </c>
      <c r="G69" s="4">
        <v>5</v>
      </c>
      <c r="H69" s="129"/>
      <c r="I69" s="3" t="s">
        <v>112</v>
      </c>
      <c r="J69" s="4" t="s">
        <v>111</v>
      </c>
      <c r="K69" s="4" t="s">
        <v>24</v>
      </c>
      <c r="L69" s="4">
        <v>5</v>
      </c>
      <c r="M69" s="129"/>
      <c r="N69" s="3" t="s">
        <v>112</v>
      </c>
      <c r="O69" s="4" t="s">
        <v>111</v>
      </c>
      <c r="P69" s="4" t="s">
        <v>24</v>
      </c>
      <c r="Q69" s="4">
        <v>4</v>
      </c>
      <c r="R69" s="129"/>
      <c r="S69" s="3" t="s">
        <v>112</v>
      </c>
      <c r="T69" s="4" t="s">
        <v>111</v>
      </c>
      <c r="U69" s="93" t="s">
        <v>24</v>
      </c>
      <c r="V69" s="93">
        <v>3</v>
      </c>
      <c r="W69" s="129"/>
      <c r="X69" s="3" t="s">
        <v>112</v>
      </c>
      <c r="Y69" s="4" t="s">
        <v>111</v>
      </c>
      <c r="Z69" s="93" t="s">
        <v>24</v>
      </c>
      <c r="AA69" s="93">
        <v>1</v>
      </c>
      <c r="AB69" s="129"/>
      <c r="AD69" s="263"/>
      <c r="AE69" s="262"/>
      <c r="AF69" s="262"/>
      <c r="AG69" s="4"/>
      <c r="AI69" s="263"/>
      <c r="AJ69" s="262"/>
      <c r="AK69" s="262"/>
      <c r="AL69" s="262"/>
      <c r="AN69" s="263"/>
      <c r="AO69" s="262"/>
      <c r="AP69" s="262"/>
      <c r="AQ69" s="4"/>
    </row>
    <row r="70" spans="3:43">
      <c r="C70" s="192">
        <v>3</v>
      </c>
      <c r="D70" s="3" t="s">
        <v>113</v>
      </c>
      <c r="E70" s="4" t="s">
        <v>111</v>
      </c>
      <c r="F70" s="4" t="s">
        <v>24</v>
      </c>
      <c r="G70" s="4">
        <v>5</v>
      </c>
      <c r="H70" s="129"/>
      <c r="I70" s="3" t="s">
        <v>113</v>
      </c>
      <c r="J70" s="4" t="s">
        <v>111</v>
      </c>
      <c r="K70" s="4" t="s">
        <v>24</v>
      </c>
      <c r="L70" s="4">
        <v>5</v>
      </c>
      <c r="M70" s="129"/>
      <c r="N70" s="3" t="s">
        <v>113</v>
      </c>
      <c r="O70" s="4" t="s">
        <v>111</v>
      </c>
      <c r="P70" s="4" t="s">
        <v>24</v>
      </c>
      <c r="Q70" s="4">
        <v>4</v>
      </c>
      <c r="R70" s="129"/>
      <c r="S70" s="3" t="s">
        <v>113</v>
      </c>
      <c r="T70" s="4" t="s">
        <v>111</v>
      </c>
      <c r="U70" s="93" t="s">
        <v>24</v>
      </c>
      <c r="V70" s="93">
        <v>3</v>
      </c>
      <c r="W70" s="129"/>
      <c r="X70" s="3" t="s">
        <v>113</v>
      </c>
      <c r="Y70" s="4" t="s">
        <v>111</v>
      </c>
      <c r="Z70" s="93" t="s">
        <v>24</v>
      </c>
      <c r="AA70" s="93">
        <v>1</v>
      </c>
      <c r="AB70" s="129"/>
      <c r="AD70" s="263"/>
      <c r="AE70" s="262"/>
      <c r="AF70" s="262"/>
      <c r="AG70" s="4"/>
      <c r="AI70" s="263"/>
      <c r="AJ70" s="262"/>
      <c r="AK70" s="262"/>
      <c r="AL70" s="262"/>
      <c r="AN70" s="263"/>
      <c r="AO70" s="262"/>
      <c r="AP70" s="262"/>
      <c r="AQ70" s="4"/>
    </row>
    <row r="71" spans="3:43">
      <c r="C71" s="197"/>
      <c r="D71" s="121" t="s">
        <v>58</v>
      </c>
      <c r="E71" s="173"/>
      <c r="F71" s="173"/>
      <c r="G71" s="173"/>
      <c r="H71" s="129"/>
      <c r="I71" s="121" t="s">
        <v>58</v>
      </c>
      <c r="J71" s="173"/>
      <c r="K71" s="173"/>
      <c r="L71" s="173"/>
      <c r="M71" s="129"/>
      <c r="N71" s="121" t="s">
        <v>58</v>
      </c>
      <c r="O71" s="173"/>
      <c r="P71" s="173"/>
      <c r="Q71" s="173"/>
      <c r="R71" s="129"/>
      <c r="S71" s="121" t="s">
        <v>58</v>
      </c>
      <c r="T71" s="173"/>
      <c r="U71" s="173"/>
      <c r="V71" s="173"/>
      <c r="W71" s="129"/>
      <c r="X71" s="121" t="s">
        <v>58</v>
      </c>
      <c r="Y71" s="173"/>
      <c r="Z71" s="173"/>
      <c r="AA71" s="173"/>
      <c r="AB71" s="129"/>
      <c r="AD71" s="29"/>
      <c r="AE71" s="260"/>
      <c r="AF71" s="260"/>
      <c r="AG71" s="260"/>
      <c r="AI71" s="29"/>
      <c r="AJ71" s="260"/>
      <c r="AK71" s="260"/>
      <c r="AL71" s="260"/>
      <c r="AN71" s="29"/>
      <c r="AO71" s="260"/>
      <c r="AP71" s="260"/>
      <c r="AQ71" s="260"/>
    </row>
    <row r="72" spans="3:43">
      <c r="C72" s="187" t="s">
        <v>98</v>
      </c>
      <c r="D72" s="137" t="s">
        <v>99</v>
      </c>
      <c r="E72" s="136" t="s">
        <v>100</v>
      </c>
      <c r="F72" s="136" t="s">
        <v>101</v>
      </c>
      <c r="G72" s="136" t="s">
        <v>102</v>
      </c>
      <c r="H72" s="129"/>
      <c r="I72" s="137" t="s">
        <v>99</v>
      </c>
      <c r="J72" s="136" t="s">
        <v>100</v>
      </c>
      <c r="K72" s="136" t="s">
        <v>101</v>
      </c>
      <c r="L72" s="136" t="s">
        <v>102</v>
      </c>
      <c r="M72" s="129"/>
      <c r="N72" s="137" t="s">
        <v>99</v>
      </c>
      <c r="O72" s="136" t="s">
        <v>100</v>
      </c>
      <c r="P72" s="136" t="s">
        <v>101</v>
      </c>
      <c r="Q72" s="136" t="s">
        <v>102</v>
      </c>
      <c r="R72" s="129"/>
      <c r="S72" s="137" t="s">
        <v>99</v>
      </c>
      <c r="T72" s="136" t="s">
        <v>100</v>
      </c>
      <c r="U72" s="136" t="s">
        <v>101</v>
      </c>
      <c r="V72" s="136" t="s">
        <v>102</v>
      </c>
      <c r="W72" s="129"/>
      <c r="X72" s="137" t="s">
        <v>99</v>
      </c>
      <c r="Y72" s="136" t="s">
        <v>100</v>
      </c>
      <c r="Z72" s="136" t="s">
        <v>101</v>
      </c>
      <c r="AA72" s="136" t="s">
        <v>102</v>
      </c>
      <c r="AB72" s="129"/>
      <c r="AD72" s="29"/>
      <c r="AE72" s="2"/>
      <c r="AF72" s="2"/>
      <c r="AG72" s="2"/>
      <c r="AI72" s="29"/>
      <c r="AJ72" s="2"/>
      <c r="AK72" s="2"/>
      <c r="AL72" s="2"/>
      <c r="AN72" s="29"/>
      <c r="AO72" s="2"/>
      <c r="AP72" s="2"/>
      <c r="AQ72" s="2"/>
    </row>
    <row r="73" spans="3:43">
      <c r="C73" s="188">
        <v>1</v>
      </c>
      <c r="D73" s="3" t="str">
        <f>D16</f>
        <v>比赛卧推</v>
      </c>
      <c r="E73" s="4">
        <f>ROUND($E$5*E$16*0.2,0)*5</f>
        <v>160</v>
      </c>
      <c r="F73" s="9">
        <v>4</v>
      </c>
      <c r="G73" s="12" t="s">
        <v>105</v>
      </c>
      <c r="H73" s="129"/>
      <c r="I73" s="3" t="str">
        <f>I16</f>
        <v>比赛卧推</v>
      </c>
      <c r="J73" s="4">
        <f>ROUND($E$5*J$16*0.2,0)*5</f>
        <v>170</v>
      </c>
      <c r="K73" s="9">
        <v>3</v>
      </c>
      <c r="L73" s="12" t="s">
        <v>106</v>
      </c>
      <c r="M73" s="129"/>
      <c r="N73" s="3" t="str">
        <f>N16</f>
        <v>比赛卧推</v>
      </c>
      <c r="O73" s="4">
        <f>ROUND($E$5*O16*0.2,0)*5</f>
        <v>165</v>
      </c>
      <c r="P73" s="9">
        <v>3</v>
      </c>
      <c r="Q73" s="12">
        <v>1</v>
      </c>
      <c r="R73" s="129"/>
      <c r="S73" s="3" t="str">
        <f>S16</f>
        <v>比赛卧推</v>
      </c>
      <c r="T73" s="4">
        <f>ROUND($E$5*T16*0.2,0)*5</f>
        <v>180</v>
      </c>
      <c r="U73" s="9">
        <v>1</v>
      </c>
      <c r="V73" s="12" t="s">
        <v>107</v>
      </c>
      <c r="W73" s="129"/>
      <c r="X73" s="3" t="str">
        <f>X16</f>
        <v>比赛卧推</v>
      </c>
      <c r="Y73" s="4">
        <f>ROUND($E$5*Y16*0.2,0)*5</f>
        <v>170</v>
      </c>
      <c r="Z73" s="9">
        <v>3</v>
      </c>
      <c r="AA73" s="12">
        <v>1</v>
      </c>
      <c r="AB73" s="129"/>
      <c r="AD73" s="3"/>
      <c r="AE73" s="4"/>
      <c r="AF73" s="4"/>
      <c r="AG73" s="4"/>
      <c r="AI73" s="3"/>
      <c r="AJ73" s="4"/>
      <c r="AK73" s="4"/>
      <c r="AL73" s="4"/>
      <c r="AN73" s="264"/>
      <c r="AO73" s="4"/>
      <c r="AP73" s="4"/>
      <c r="AQ73" s="4"/>
    </row>
    <row r="74" spans="3:43">
      <c r="C74" s="188">
        <v>1</v>
      </c>
      <c r="H74" s="129"/>
      <c r="M74" s="129"/>
      <c r="O74" s="4">
        <f t="shared" ref="O74:O75" si="2">ROUND($E$5*O17*0.2,0)*5</f>
        <v>175</v>
      </c>
      <c r="P74" s="4">
        <v>2</v>
      </c>
      <c r="Q74" s="4">
        <v>2</v>
      </c>
      <c r="R74" s="129"/>
      <c r="W74" s="129"/>
      <c r="Y74" s="4">
        <f t="shared" ref="Y74:Y75" si="3">ROUND($E$5*Y17*0.2,0)*5</f>
        <v>180</v>
      </c>
      <c r="Z74" s="4">
        <v>2</v>
      </c>
      <c r="AA74" s="4">
        <v>1</v>
      </c>
      <c r="AB74" s="129"/>
      <c r="AD74" s="3"/>
      <c r="AE74" s="4"/>
      <c r="AF74" s="4"/>
      <c r="AG74" s="4"/>
      <c r="AI74" s="3"/>
      <c r="AJ74" s="4"/>
      <c r="AK74" s="4"/>
      <c r="AL74" s="4"/>
      <c r="AN74" s="3"/>
      <c r="AO74" s="4"/>
      <c r="AP74" s="4"/>
      <c r="AQ74" s="4"/>
    </row>
    <row r="75" spans="3:43">
      <c r="C75" s="188">
        <v>1</v>
      </c>
      <c r="H75" s="129"/>
      <c r="M75" s="129"/>
      <c r="O75" s="4">
        <f t="shared" si="2"/>
        <v>185</v>
      </c>
      <c r="P75" s="4">
        <v>1</v>
      </c>
      <c r="Q75" s="4" t="s">
        <v>105</v>
      </c>
      <c r="R75" s="129"/>
      <c r="W75" s="129"/>
      <c r="Y75" s="4">
        <f t="shared" si="3"/>
        <v>190</v>
      </c>
      <c r="Z75" s="4" t="s">
        <v>24</v>
      </c>
      <c r="AA75" s="4">
        <v>1</v>
      </c>
      <c r="AB75" s="129"/>
      <c r="AD75" s="3"/>
      <c r="AE75" s="4"/>
      <c r="AF75" s="4"/>
      <c r="AG75" s="4"/>
      <c r="AI75" s="3"/>
      <c r="AJ75" s="4"/>
      <c r="AK75" s="4"/>
      <c r="AL75" s="4"/>
      <c r="AN75" s="3"/>
      <c r="AO75" s="4"/>
      <c r="AP75" s="4"/>
      <c r="AQ75" s="4"/>
    </row>
    <row r="76" spans="3:43">
      <c r="C76" s="191">
        <v>2</v>
      </c>
      <c r="D76" s="3" t="str">
        <f>D37</f>
        <v>暂停比赛深蹲</v>
      </c>
      <c r="E76" s="4">
        <f>ROUND($E$4*E$37*0.2,0)*5</f>
        <v>195</v>
      </c>
      <c r="F76" s="4">
        <v>3</v>
      </c>
      <c r="G76" s="4" t="s">
        <v>114</v>
      </c>
      <c r="H76" s="129"/>
      <c r="I76" s="3" t="str">
        <f>I37</f>
        <v>暂停比赛深蹲</v>
      </c>
      <c r="J76" s="4">
        <f>ROUND($E$4*J$37*0.2,0)*5</f>
        <v>205</v>
      </c>
      <c r="K76" s="4">
        <v>2</v>
      </c>
      <c r="L76" s="4">
        <v>8</v>
      </c>
      <c r="M76" s="129"/>
      <c r="N76" s="3" t="str">
        <f>N37</f>
        <v>暂停比赛深蹲</v>
      </c>
      <c r="O76" s="4">
        <f>ROUND($E$4*O$37*0.2,0)*5</f>
        <v>220</v>
      </c>
      <c r="P76" s="4">
        <v>1</v>
      </c>
      <c r="Q76" s="4" t="s">
        <v>115</v>
      </c>
      <c r="R76" s="129"/>
      <c r="S76" s="3" t="str">
        <f>S37</f>
        <v>比赛深蹲</v>
      </c>
      <c r="T76" s="4">
        <f>ROUND($E$4*T$37*0.2,0)*5</f>
        <v>215</v>
      </c>
      <c r="U76" s="4">
        <v>5</v>
      </c>
      <c r="V76" s="4" t="s">
        <v>107</v>
      </c>
      <c r="W76" s="129"/>
      <c r="X76" s="3" t="str">
        <f>X37</f>
        <v>比赛深蹲</v>
      </c>
      <c r="Y76" s="4">
        <f>ROUND($E$4*Y$37*0.2,0)*5</f>
        <v>165</v>
      </c>
      <c r="Z76" s="93" t="s">
        <v>24</v>
      </c>
      <c r="AA76" s="93">
        <v>1</v>
      </c>
      <c r="AB76" s="129"/>
      <c r="AD76" s="3"/>
      <c r="AE76" s="4"/>
      <c r="AF76" s="4"/>
      <c r="AG76" s="4"/>
      <c r="AI76" s="3"/>
      <c r="AJ76" s="4"/>
      <c r="AK76" s="262"/>
      <c r="AL76" s="262"/>
      <c r="AN76" s="3"/>
      <c r="AO76" s="4"/>
      <c r="AP76" s="4"/>
      <c r="AQ76" s="4"/>
    </row>
    <row r="77" hidden="1" spans="3:43">
      <c r="C77" s="191">
        <v>2</v>
      </c>
      <c r="E77" s="93"/>
      <c r="H77" s="129"/>
      <c r="J77" s="93"/>
      <c r="M77" s="129"/>
      <c r="O77" s="93"/>
      <c r="R77" s="129"/>
      <c r="T77" s="93"/>
      <c r="W77" s="129"/>
      <c r="Y77" s="93"/>
      <c r="AB77" s="129"/>
      <c r="AD77" s="3"/>
      <c r="AE77" s="262"/>
      <c r="AF77" s="4"/>
      <c r="AG77" s="4"/>
      <c r="AI77" s="3"/>
      <c r="AJ77" s="262"/>
      <c r="AK77" s="262"/>
      <c r="AL77" s="262"/>
      <c r="AN77" s="3"/>
      <c r="AO77" s="262"/>
      <c r="AP77" s="4"/>
      <c r="AQ77" s="4"/>
    </row>
    <row r="78" spans="3:43">
      <c r="C78" s="192">
        <v>3</v>
      </c>
      <c r="D78" s="3" t="s">
        <v>116</v>
      </c>
      <c r="E78" s="4" t="s">
        <v>111</v>
      </c>
      <c r="F78" s="4" t="s">
        <v>24</v>
      </c>
      <c r="G78" s="4">
        <v>5</v>
      </c>
      <c r="H78" s="129"/>
      <c r="I78" s="3" t="s">
        <v>116</v>
      </c>
      <c r="J78" s="4" t="s">
        <v>111</v>
      </c>
      <c r="K78" s="4" t="s">
        <v>24</v>
      </c>
      <c r="L78" s="4">
        <v>5</v>
      </c>
      <c r="M78" s="129"/>
      <c r="N78" s="3" t="s">
        <v>116</v>
      </c>
      <c r="O78" s="4" t="s">
        <v>111</v>
      </c>
      <c r="P78" s="4" t="s">
        <v>24</v>
      </c>
      <c r="Q78" s="4">
        <v>4</v>
      </c>
      <c r="R78" s="129"/>
      <c r="S78" s="3" t="s">
        <v>116</v>
      </c>
      <c r="T78" s="4" t="s">
        <v>111</v>
      </c>
      <c r="U78" s="93" t="s">
        <v>24</v>
      </c>
      <c r="V78" s="93">
        <v>3</v>
      </c>
      <c r="W78" s="129"/>
      <c r="X78" s="3" t="s">
        <v>116</v>
      </c>
      <c r="Y78" s="4" t="s">
        <v>111</v>
      </c>
      <c r="Z78" s="93" t="s">
        <v>24</v>
      </c>
      <c r="AA78" s="93">
        <v>1</v>
      </c>
      <c r="AB78" s="129"/>
      <c r="AD78" s="3"/>
      <c r="AE78" s="262"/>
      <c r="AF78" s="262"/>
      <c r="AG78" s="4"/>
      <c r="AI78" s="263"/>
      <c r="AJ78" s="262"/>
      <c r="AK78" s="262"/>
      <c r="AL78" s="262"/>
      <c r="AN78" s="3"/>
      <c r="AO78" s="262"/>
      <c r="AP78" s="262"/>
      <c r="AQ78" s="4"/>
    </row>
    <row r="79" spans="3:43">
      <c r="C79" s="192">
        <v>3</v>
      </c>
      <c r="D79" s="3" t="s">
        <v>117</v>
      </c>
      <c r="E79" s="4" t="s">
        <v>111</v>
      </c>
      <c r="F79" s="4" t="s">
        <v>24</v>
      </c>
      <c r="G79" s="4">
        <v>5</v>
      </c>
      <c r="H79" s="129"/>
      <c r="I79" s="3" t="s">
        <v>117</v>
      </c>
      <c r="J79" s="4" t="s">
        <v>111</v>
      </c>
      <c r="K79" s="4" t="s">
        <v>24</v>
      </c>
      <c r="L79" s="4">
        <v>5</v>
      </c>
      <c r="M79" s="129"/>
      <c r="N79" s="3" t="s">
        <v>117</v>
      </c>
      <c r="O79" s="4" t="s">
        <v>111</v>
      </c>
      <c r="P79" s="4" t="s">
        <v>24</v>
      </c>
      <c r="Q79" s="4">
        <v>4</v>
      </c>
      <c r="R79" s="129"/>
      <c r="S79" s="3" t="s">
        <v>117</v>
      </c>
      <c r="T79" s="4" t="s">
        <v>111</v>
      </c>
      <c r="U79" s="93" t="s">
        <v>24</v>
      </c>
      <c r="V79" s="93">
        <v>3</v>
      </c>
      <c r="W79" s="129"/>
      <c r="X79" s="3" t="s">
        <v>117</v>
      </c>
      <c r="Y79" s="4" t="s">
        <v>111</v>
      </c>
      <c r="Z79" s="93" t="s">
        <v>24</v>
      </c>
      <c r="AA79" s="93">
        <v>1</v>
      </c>
      <c r="AB79" s="129"/>
      <c r="AD79" s="3"/>
      <c r="AE79" s="262"/>
      <c r="AF79" s="262"/>
      <c r="AG79" s="4"/>
      <c r="AI79" s="263"/>
      <c r="AJ79" s="262"/>
      <c r="AK79" s="262"/>
      <c r="AL79" s="262"/>
      <c r="AN79" s="3"/>
      <c r="AO79" s="262"/>
      <c r="AP79" s="262"/>
      <c r="AQ79" s="4"/>
    </row>
    <row r="80" spans="3:43">
      <c r="C80" s="192">
        <v>3</v>
      </c>
      <c r="D80" s="3" t="s">
        <v>118</v>
      </c>
      <c r="E80" s="4" t="s">
        <v>111</v>
      </c>
      <c r="F80" s="4" t="s">
        <v>24</v>
      </c>
      <c r="G80" s="4">
        <v>5</v>
      </c>
      <c r="H80" s="129"/>
      <c r="I80" s="3" t="s">
        <v>118</v>
      </c>
      <c r="J80" s="4" t="s">
        <v>111</v>
      </c>
      <c r="K80" s="4" t="s">
        <v>24</v>
      </c>
      <c r="L80" s="4">
        <v>5</v>
      </c>
      <c r="M80" s="129"/>
      <c r="N80" s="3" t="s">
        <v>118</v>
      </c>
      <c r="O80" s="4" t="s">
        <v>111</v>
      </c>
      <c r="P80" s="4" t="s">
        <v>24</v>
      </c>
      <c r="Q80" s="4">
        <v>4</v>
      </c>
      <c r="R80" s="129"/>
      <c r="S80" s="3" t="s">
        <v>118</v>
      </c>
      <c r="T80" s="4" t="s">
        <v>111</v>
      </c>
      <c r="U80" s="93" t="s">
        <v>24</v>
      </c>
      <c r="V80" s="93">
        <v>3</v>
      </c>
      <c r="W80" s="129"/>
      <c r="X80" s="3" t="s">
        <v>118</v>
      </c>
      <c r="Y80" s="4" t="s">
        <v>111</v>
      </c>
      <c r="Z80" s="93" t="s">
        <v>24</v>
      </c>
      <c r="AA80" s="93">
        <v>1</v>
      </c>
      <c r="AB80" s="129"/>
      <c r="AD80" s="263"/>
      <c r="AE80" s="262"/>
      <c r="AF80" s="262"/>
      <c r="AG80" s="4"/>
      <c r="AI80" s="263"/>
      <c r="AJ80" s="262"/>
      <c r="AK80" s="262"/>
      <c r="AL80" s="262"/>
      <c r="AN80" s="3"/>
      <c r="AO80" s="262"/>
      <c r="AP80" s="262"/>
      <c r="AQ80" s="4"/>
    </row>
    <row r="81" spans="3:43">
      <c r="C81" s="197"/>
      <c r="D81" s="121" t="s">
        <v>59</v>
      </c>
      <c r="E81" s="173"/>
      <c r="F81" s="173"/>
      <c r="G81" s="173"/>
      <c r="H81" s="129"/>
      <c r="I81" s="121" t="s">
        <v>59</v>
      </c>
      <c r="J81" s="173"/>
      <c r="K81" s="173"/>
      <c r="L81" s="173"/>
      <c r="M81" s="129"/>
      <c r="N81" s="121" t="s">
        <v>59</v>
      </c>
      <c r="O81" s="173"/>
      <c r="P81" s="173"/>
      <c r="Q81" s="173"/>
      <c r="R81" s="129"/>
      <c r="S81" s="121" t="s">
        <v>59</v>
      </c>
      <c r="T81" s="173"/>
      <c r="U81" s="173"/>
      <c r="V81" s="173"/>
      <c r="W81" s="129"/>
      <c r="X81" s="121" t="s">
        <v>59</v>
      </c>
      <c r="Y81" s="173"/>
      <c r="Z81" s="173"/>
      <c r="AA81" s="173"/>
      <c r="AB81" s="129"/>
      <c r="AD81" s="29"/>
      <c r="AE81" s="260"/>
      <c r="AF81" s="260"/>
      <c r="AG81" s="260"/>
      <c r="AI81" s="29"/>
      <c r="AJ81" s="260"/>
      <c r="AK81" s="260"/>
      <c r="AL81" s="260"/>
      <c r="AN81" s="29"/>
      <c r="AO81" s="260"/>
      <c r="AP81" s="260"/>
      <c r="AQ81" s="260"/>
    </row>
    <row r="82" spans="3:43">
      <c r="C82" s="187" t="s">
        <v>98</v>
      </c>
      <c r="D82" s="137" t="s">
        <v>99</v>
      </c>
      <c r="E82" s="136" t="s">
        <v>100</v>
      </c>
      <c r="F82" s="136" t="s">
        <v>101</v>
      </c>
      <c r="G82" s="136" t="s">
        <v>102</v>
      </c>
      <c r="H82" s="129"/>
      <c r="I82" s="137" t="s">
        <v>99</v>
      </c>
      <c r="J82" s="136" t="s">
        <v>100</v>
      </c>
      <c r="K82" s="136" t="s">
        <v>101</v>
      </c>
      <c r="L82" s="136" t="s">
        <v>102</v>
      </c>
      <c r="M82" s="129"/>
      <c r="N82" s="137" t="s">
        <v>99</v>
      </c>
      <c r="O82" s="136" t="s">
        <v>100</v>
      </c>
      <c r="P82" s="136" t="s">
        <v>101</v>
      </c>
      <c r="Q82" s="136" t="s">
        <v>102</v>
      </c>
      <c r="R82" s="129"/>
      <c r="S82" s="137" t="s">
        <v>99</v>
      </c>
      <c r="T82" s="136" t="s">
        <v>100</v>
      </c>
      <c r="U82" s="136" t="s">
        <v>101</v>
      </c>
      <c r="V82" s="136" t="s">
        <v>102</v>
      </c>
      <c r="W82" s="129"/>
      <c r="X82" s="137" t="s">
        <v>99</v>
      </c>
      <c r="Y82" s="136" t="s">
        <v>100</v>
      </c>
      <c r="Z82" s="136" t="s">
        <v>101</v>
      </c>
      <c r="AA82" s="136" t="s">
        <v>102</v>
      </c>
      <c r="AB82" s="129"/>
      <c r="AD82" s="29"/>
      <c r="AE82" s="2"/>
      <c r="AF82" s="2"/>
      <c r="AG82" s="2"/>
      <c r="AI82" s="29"/>
      <c r="AJ82" s="2"/>
      <c r="AK82" s="2"/>
      <c r="AL82" s="2"/>
      <c r="AN82" s="29"/>
      <c r="AO82" s="2"/>
      <c r="AP82" s="2"/>
      <c r="AQ82" s="2"/>
    </row>
    <row r="83" spans="3:43">
      <c r="C83" s="188">
        <v>1</v>
      </c>
      <c r="D83" s="3" t="str">
        <f>D19</f>
        <v>超程硬拉</v>
      </c>
      <c r="E83" s="4">
        <f>ROUND($E$6*E$19*0.2,0)*5</f>
        <v>220</v>
      </c>
      <c r="F83" s="9">
        <v>4</v>
      </c>
      <c r="G83" s="12" t="s">
        <v>105</v>
      </c>
      <c r="H83" s="129"/>
      <c r="I83" s="3" t="str">
        <f>I19</f>
        <v>超程硬拉</v>
      </c>
      <c r="J83" s="4">
        <f>ROUND($E$6*J$19*0.2,0)*5</f>
        <v>235</v>
      </c>
      <c r="K83" s="9">
        <v>3</v>
      </c>
      <c r="L83" s="12" t="s">
        <v>106</v>
      </c>
      <c r="M83" s="129"/>
      <c r="N83" s="3" t="str">
        <f>N19</f>
        <v>超程硬拉</v>
      </c>
      <c r="O83" s="4">
        <f>ROUND($E$6*O19*0.2,0)*5</f>
        <v>250</v>
      </c>
      <c r="P83" s="9">
        <v>2</v>
      </c>
      <c r="Q83" s="12" t="s">
        <v>107</v>
      </c>
      <c r="R83" s="129"/>
      <c r="S83" s="3" t="str">
        <f>S19</f>
        <v>超程硬拉</v>
      </c>
      <c r="T83" s="4">
        <f>ROUND($E$6*T19*0.2,0)*5</f>
        <v>260</v>
      </c>
      <c r="U83" s="9">
        <v>3</v>
      </c>
      <c r="V83" s="12">
        <v>1</v>
      </c>
      <c r="W83" s="129"/>
      <c r="X83" s="3" t="str">
        <f>X19</f>
        <v>硬拉</v>
      </c>
      <c r="Y83" s="4">
        <f>ROUND($E$6*Y19*0.2,0)*5</f>
        <v>265</v>
      </c>
      <c r="Z83" s="9">
        <v>3</v>
      </c>
      <c r="AA83" s="12">
        <v>1</v>
      </c>
      <c r="AB83" s="129"/>
      <c r="AD83" s="3"/>
      <c r="AE83" s="4"/>
      <c r="AF83" s="4"/>
      <c r="AG83" s="4"/>
      <c r="AI83" s="3"/>
      <c r="AJ83" s="4"/>
      <c r="AK83" s="4"/>
      <c r="AL83" s="4"/>
      <c r="AN83" s="264"/>
      <c r="AO83" s="4"/>
      <c r="AP83" s="4"/>
      <c r="AQ83" s="4"/>
    </row>
    <row r="84" spans="3:43">
      <c r="C84" s="188">
        <v>1</v>
      </c>
      <c r="H84" s="129"/>
      <c r="M84" s="129"/>
      <c r="R84" s="129"/>
      <c r="T84" s="4">
        <f t="shared" ref="T84:T85" si="4">ROUND($E$6*T20*0.2,0)*5</f>
        <v>275</v>
      </c>
      <c r="U84" s="4">
        <v>2</v>
      </c>
      <c r="V84" s="4">
        <v>1</v>
      </c>
      <c r="W84" s="129"/>
      <c r="Y84" s="4">
        <f t="shared" ref="Y84:Y85" si="5">ROUND($E$6*Y20*0.2,0)*5</f>
        <v>280</v>
      </c>
      <c r="Z84" s="4">
        <v>2</v>
      </c>
      <c r="AA84" s="4">
        <v>1</v>
      </c>
      <c r="AB84" s="129"/>
      <c r="AD84" s="3"/>
      <c r="AE84" s="4"/>
      <c r="AF84" s="4"/>
      <c r="AG84" s="4"/>
      <c r="AI84" s="3"/>
      <c r="AJ84" s="4"/>
      <c r="AK84" s="4"/>
      <c r="AL84" s="4"/>
      <c r="AN84" s="3"/>
      <c r="AO84" s="4"/>
      <c r="AP84" s="4"/>
      <c r="AQ84" s="4"/>
    </row>
    <row r="85" spans="3:43">
      <c r="C85" s="188">
        <v>1</v>
      </c>
      <c r="H85" s="129"/>
      <c r="M85" s="129"/>
      <c r="R85" s="129"/>
      <c r="T85" s="4">
        <f t="shared" si="4"/>
        <v>290</v>
      </c>
      <c r="U85" s="4">
        <v>1</v>
      </c>
      <c r="V85" s="4" t="s">
        <v>105</v>
      </c>
      <c r="W85" s="129"/>
      <c r="Y85" s="4">
        <f t="shared" si="5"/>
        <v>295</v>
      </c>
      <c r="Z85" s="4" t="s">
        <v>24</v>
      </c>
      <c r="AA85" s="4">
        <v>1</v>
      </c>
      <c r="AB85" s="129"/>
      <c r="AD85" s="3"/>
      <c r="AE85" s="4"/>
      <c r="AF85" s="4"/>
      <c r="AG85" s="4"/>
      <c r="AI85" s="3"/>
      <c r="AJ85" s="4"/>
      <c r="AK85" s="4"/>
      <c r="AL85" s="4"/>
      <c r="AN85" s="3"/>
      <c r="AO85" s="4"/>
      <c r="AP85" s="4"/>
      <c r="AQ85" s="4"/>
    </row>
    <row r="86" spans="3:43">
      <c r="C86" s="191">
        <v>2</v>
      </c>
      <c r="D86" s="3" t="str">
        <f>D39</f>
        <v>无腿卧推</v>
      </c>
      <c r="E86" s="4">
        <f>ROUND($E$5*E$39*0.2,0)*5</f>
        <v>115</v>
      </c>
      <c r="F86" s="4">
        <v>10</v>
      </c>
      <c r="G86" s="4" t="s">
        <v>106</v>
      </c>
      <c r="H86" s="129"/>
      <c r="I86" s="3" t="str">
        <f>I39</f>
        <v>无腿卧推</v>
      </c>
      <c r="J86" s="4">
        <f>ROUND($E$5*J$39*0.2,0)*5</f>
        <v>125</v>
      </c>
      <c r="K86" s="4">
        <v>8</v>
      </c>
      <c r="L86" s="4">
        <v>4</v>
      </c>
      <c r="M86" s="129"/>
      <c r="N86" s="3" t="str">
        <f>N39</f>
        <v>无腿卧推</v>
      </c>
      <c r="O86" s="4">
        <f>ROUND($E$5*O$39*0.2,0)*5</f>
        <v>135</v>
      </c>
      <c r="P86" s="4">
        <v>6</v>
      </c>
      <c r="Q86" s="4">
        <v>4</v>
      </c>
      <c r="R86" s="129"/>
      <c r="S86" s="3" t="str">
        <f>S39</f>
        <v>无腿卧推</v>
      </c>
      <c r="T86" s="4">
        <f>ROUND($E$5*T$39*0.2,0)*5</f>
        <v>145</v>
      </c>
      <c r="U86" s="4">
        <v>5</v>
      </c>
      <c r="V86" s="4" t="s">
        <v>107</v>
      </c>
      <c r="W86" s="129"/>
      <c r="X86" s="3" t="str">
        <f>X39</f>
        <v>无腿卧推</v>
      </c>
      <c r="Y86" s="4">
        <f>ROUND($E$5*Y$39*0.2,0)*5</f>
        <v>105</v>
      </c>
      <c r="Z86" s="93" t="s">
        <v>24</v>
      </c>
      <c r="AA86" s="93">
        <v>1</v>
      </c>
      <c r="AB86" s="129"/>
      <c r="AD86" s="3"/>
      <c r="AE86" s="4"/>
      <c r="AF86" s="4"/>
      <c r="AG86" s="4"/>
      <c r="AI86" s="3"/>
      <c r="AJ86" s="4"/>
      <c r="AK86" s="262"/>
      <c r="AL86" s="262"/>
      <c r="AN86" s="3"/>
      <c r="AO86" s="4"/>
      <c r="AP86" s="4"/>
      <c r="AQ86" s="4"/>
    </row>
    <row r="87" hidden="1" spans="3:43">
      <c r="C87" s="191">
        <v>2</v>
      </c>
      <c r="E87" s="93"/>
      <c r="H87" s="129"/>
      <c r="J87" s="93"/>
      <c r="M87" s="129"/>
      <c r="O87" s="93"/>
      <c r="R87" s="129"/>
      <c r="T87" s="93"/>
      <c r="W87" s="129"/>
      <c r="Y87" s="93"/>
      <c r="AB87" s="129"/>
      <c r="AD87" s="3"/>
      <c r="AE87" s="262"/>
      <c r="AF87" s="4"/>
      <c r="AG87" s="4"/>
      <c r="AI87" s="3"/>
      <c r="AJ87" s="262"/>
      <c r="AK87" s="262"/>
      <c r="AL87" s="262"/>
      <c r="AN87" s="3"/>
      <c r="AO87" s="262"/>
      <c r="AP87" s="4"/>
      <c r="AQ87" s="4"/>
    </row>
    <row r="88" spans="3:43">
      <c r="C88" s="192">
        <v>3</v>
      </c>
      <c r="D88" s="3" t="s">
        <v>119</v>
      </c>
      <c r="E88" s="4" t="s">
        <v>111</v>
      </c>
      <c r="F88" s="4" t="s">
        <v>24</v>
      </c>
      <c r="G88" s="4">
        <v>5</v>
      </c>
      <c r="H88" s="129"/>
      <c r="I88" s="3" t="s">
        <v>119</v>
      </c>
      <c r="J88" s="4" t="s">
        <v>111</v>
      </c>
      <c r="K88" s="4" t="s">
        <v>24</v>
      </c>
      <c r="L88" s="4">
        <v>5</v>
      </c>
      <c r="M88" s="129"/>
      <c r="N88" s="3" t="s">
        <v>119</v>
      </c>
      <c r="O88" s="4" t="s">
        <v>111</v>
      </c>
      <c r="P88" s="4" t="s">
        <v>24</v>
      </c>
      <c r="Q88" s="4">
        <v>4</v>
      </c>
      <c r="R88" s="129"/>
      <c r="S88" s="3" t="s">
        <v>119</v>
      </c>
      <c r="T88" s="4" t="s">
        <v>111</v>
      </c>
      <c r="U88" s="93" t="s">
        <v>24</v>
      </c>
      <c r="V88" s="93">
        <v>3</v>
      </c>
      <c r="W88" s="129"/>
      <c r="X88" s="3" t="s">
        <v>119</v>
      </c>
      <c r="Y88" s="4" t="s">
        <v>111</v>
      </c>
      <c r="Z88" s="93" t="s">
        <v>24</v>
      </c>
      <c r="AA88" s="93">
        <v>1</v>
      </c>
      <c r="AB88" s="129"/>
      <c r="AD88" s="3"/>
      <c r="AE88" s="262"/>
      <c r="AF88" s="262"/>
      <c r="AG88" s="4"/>
      <c r="AI88" s="263"/>
      <c r="AJ88" s="262"/>
      <c r="AK88" s="262"/>
      <c r="AL88" s="262"/>
      <c r="AN88" s="3"/>
      <c r="AO88" s="4"/>
      <c r="AP88" s="262"/>
      <c r="AQ88" s="4"/>
    </row>
    <row r="89" spans="3:43">
      <c r="C89" s="192">
        <v>3</v>
      </c>
      <c r="D89" s="3" t="s">
        <v>120</v>
      </c>
      <c r="E89" s="4" t="s">
        <v>111</v>
      </c>
      <c r="F89" s="4" t="s">
        <v>24</v>
      </c>
      <c r="G89" s="4">
        <v>5</v>
      </c>
      <c r="H89" s="129"/>
      <c r="I89" s="3" t="s">
        <v>120</v>
      </c>
      <c r="J89" s="4" t="s">
        <v>111</v>
      </c>
      <c r="K89" s="4" t="s">
        <v>24</v>
      </c>
      <c r="L89" s="4">
        <v>5</v>
      </c>
      <c r="M89" s="129"/>
      <c r="N89" s="3" t="s">
        <v>120</v>
      </c>
      <c r="O89" s="4" t="s">
        <v>111</v>
      </c>
      <c r="P89" s="4" t="s">
        <v>24</v>
      </c>
      <c r="Q89" s="4">
        <v>4</v>
      </c>
      <c r="R89" s="129"/>
      <c r="S89" s="3" t="s">
        <v>120</v>
      </c>
      <c r="T89" s="4" t="s">
        <v>111</v>
      </c>
      <c r="U89" s="93" t="s">
        <v>24</v>
      </c>
      <c r="V89" s="93">
        <v>3</v>
      </c>
      <c r="W89" s="129"/>
      <c r="X89" s="3" t="s">
        <v>120</v>
      </c>
      <c r="Y89" s="4" t="s">
        <v>111</v>
      </c>
      <c r="Z89" s="93" t="s">
        <v>24</v>
      </c>
      <c r="AA89" s="93">
        <v>1</v>
      </c>
      <c r="AB89" s="129"/>
      <c r="AD89" s="3"/>
      <c r="AE89" s="262"/>
      <c r="AF89" s="262"/>
      <c r="AG89" s="4"/>
      <c r="AI89" s="263"/>
      <c r="AJ89" s="262"/>
      <c r="AK89" s="262"/>
      <c r="AL89" s="262"/>
      <c r="AN89" s="3"/>
      <c r="AO89" s="262"/>
      <c r="AP89" s="262"/>
      <c r="AQ89" s="4"/>
    </row>
    <row r="90" spans="3:43">
      <c r="C90" s="192">
        <v>3</v>
      </c>
      <c r="D90" s="3" t="s">
        <v>121</v>
      </c>
      <c r="E90" s="4" t="s">
        <v>111</v>
      </c>
      <c r="F90" s="4" t="s">
        <v>24</v>
      </c>
      <c r="G90" s="4">
        <v>5</v>
      </c>
      <c r="H90" s="129"/>
      <c r="I90" s="3" t="s">
        <v>121</v>
      </c>
      <c r="J90" s="4" t="s">
        <v>111</v>
      </c>
      <c r="K90" s="4" t="s">
        <v>24</v>
      </c>
      <c r="L90" s="4">
        <v>5</v>
      </c>
      <c r="M90" s="129"/>
      <c r="N90" s="3" t="s">
        <v>121</v>
      </c>
      <c r="O90" s="4" t="s">
        <v>111</v>
      </c>
      <c r="P90" s="4" t="s">
        <v>24</v>
      </c>
      <c r="Q90" s="4">
        <v>4</v>
      </c>
      <c r="R90" s="129"/>
      <c r="S90" s="3" t="s">
        <v>121</v>
      </c>
      <c r="T90" s="4" t="s">
        <v>111</v>
      </c>
      <c r="U90" s="93" t="s">
        <v>24</v>
      </c>
      <c r="V90" s="93">
        <v>3</v>
      </c>
      <c r="W90" s="129"/>
      <c r="X90" s="3" t="s">
        <v>121</v>
      </c>
      <c r="Y90" s="4" t="s">
        <v>111</v>
      </c>
      <c r="Z90" s="93" t="s">
        <v>24</v>
      </c>
      <c r="AA90" s="93">
        <v>1</v>
      </c>
      <c r="AB90" s="129"/>
      <c r="AD90" s="263"/>
      <c r="AE90" s="262"/>
      <c r="AF90" s="262"/>
      <c r="AG90" s="4"/>
      <c r="AI90" s="263"/>
      <c r="AJ90" s="262"/>
      <c r="AK90" s="262"/>
      <c r="AL90" s="262"/>
      <c r="AN90" s="3"/>
      <c r="AO90" s="262"/>
      <c r="AP90" s="262"/>
      <c r="AQ90" s="4"/>
    </row>
    <row r="91" spans="3:43">
      <c r="C91" s="197"/>
      <c r="D91" s="121" t="s">
        <v>61</v>
      </c>
      <c r="E91" s="173"/>
      <c r="F91" s="173"/>
      <c r="G91" s="173"/>
      <c r="H91" s="129"/>
      <c r="I91" s="121" t="s">
        <v>61</v>
      </c>
      <c r="J91" s="173"/>
      <c r="K91" s="173"/>
      <c r="L91" s="173"/>
      <c r="M91" s="129"/>
      <c r="N91" s="121" t="s">
        <v>61</v>
      </c>
      <c r="O91" s="173"/>
      <c r="P91" s="173"/>
      <c r="Q91" s="173"/>
      <c r="R91" s="129"/>
      <c r="S91" s="121" t="s">
        <v>61</v>
      </c>
      <c r="T91" s="173"/>
      <c r="U91" s="173"/>
      <c r="V91" s="173"/>
      <c r="W91" s="129"/>
      <c r="X91" s="121" t="s">
        <v>61</v>
      </c>
      <c r="Y91" s="173"/>
      <c r="Z91" s="173"/>
      <c r="AA91" s="173"/>
      <c r="AB91" s="129"/>
      <c r="AD91" s="29"/>
      <c r="AE91" s="260"/>
      <c r="AF91" s="260"/>
      <c r="AG91" s="260"/>
      <c r="AI91" s="29"/>
      <c r="AJ91" s="260"/>
      <c r="AK91" s="260"/>
      <c r="AL91" s="260"/>
      <c r="AN91" s="29"/>
      <c r="AO91" s="260"/>
      <c r="AP91" s="260"/>
      <c r="AQ91" s="260"/>
    </row>
    <row r="92" spans="3:43">
      <c r="C92" s="187" t="s">
        <v>98</v>
      </c>
      <c r="D92" s="137" t="s">
        <v>99</v>
      </c>
      <c r="E92" s="136" t="s">
        <v>100</v>
      </c>
      <c r="F92" s="136" t="s">
        <v>101</v>
      </c>
      <c r="G92" s="136" t="s">
        <v>102</v>
      </c>
      <c r="H92" s="129"/>
      <c r="I92" s="137" t="s">
        <v>99</v>
      </c>
      <c r="J92" s="136" t="s">
        <v>100</v>
      </c>
      <c r="K92" s="136" t="s">
        <v>101</v>
      </c>
      <c r="L92" s="136" t="s">
        <v>102</v>
      </c>
      <c r="M92" s="129"/>
      <c r="N92" s="137" t="s">
        <v>99</v>
      </c>
      <c r="O92" s="136" t="s">
        <v>100</v>
      </c>
      <c r="P92" s="136" t="s">
        <v>101</v>
      </c>
      <c r="Q92" s="136" t="s">
        <v>102</v>
      </c>
      <c r="R92" s="129"/>
      <c r="S92" s="137" t="s">
        <v>99</v>
      </c>
      <c r="T92" s="136" t="s">
        <v>100</v>
      </c>
      <c r="U92" s="136" t="s">
        <v>101</v>
      </c>
      <c r="V92" s="136" t="s">
        <v>102</v>
      </c>
      <c r="W92" s="129"/>
      <c r="X92" s="137" t="s">
        <v>99</v>
      </c>
      <c r="Y92" s="136" t="s">
        <v>100</v>
      </c>
      <c r="Z92" s="136" t="s">
        <v>101</v>
      </c>
      <c r="AA92" s="136" t="s">
        <v>102</v>
      </c>
      <c r="AB92" s="129"/>
      <c r="AD92" s="29"/>
      <c r="AE92" s="2"/>
      <c r="AF92" s="2"/>
      <c r="AG92" s="2"/>
      <c r="AI92" s="29"/>
      <c r="AJ92" s="2"/>
      <c r="AK92" s="2"/>
      <c r="AL92" s="2"/>
      <c r="AN92" s="29"/>
      <c r="AO92" s="2"/>
      <c r="AP92" s="2"/>
      <c r="AQ92" s="2"/>
    </row>
    <row r="93" spans="3:43">
      <c r="C93" s="188">
        <v>1</v>
      </c>
      <c r="D93" s="3" t="str">
        <f>D22</f>
        <v>弹弓卧推</v>
      </c>
      <c r="E93" s="4">
        <f>ROUND($E$5*E$22*0.2,0)*5</f>
        <v>170</v>
      </c>
      <c r="F93" s="9">
        <v>4</v>
      </c>
      <c r="G93" s="12" t="s">
        <v>105</v>
      </c>
      <c r="H93" s="129"/>
      <c r="I93" s="3" t="str">
        <f>I22</f>
        <v>弹弓卧推</v>
      </c>
      <c r="J93" s="4">
        <f>ROUND($E$5*J$22*0.2,0)*5</f>
        <v>180</v>
      </c>
      <c r="K93" s="9">
        <v>3</v>
      </c>
      <c r="L93" s="12" t="s">
        <v>106</v>
      </c>
      <c r="M93" s="129"/>
      <c r="N93" s="3" t="str">
        <f>N22</f>
        <v>弹弓卧推</v>
      </c>
      <c r="O93" s="4">
        <f>ROUND($E$5*O22*0.2,0)*5</f>
        <v>175</v>
      </c>
      <c r="P93" s="9">
        <v>3</v>
      </c>
      <c r="Q93" s="12">
        <v>1</v>
      </c>
      <c r="R93" s="129"/>
      <c r="S93" s="3" t="str">
        <f>S22</f>
        <v>弹弓卧推</v>
      </c>
      <c r="T93" s="4">
        <f>ROUND($E$5*T22*0.2,0)*5</f>
        <v>190</v>
      </c>
      <c r="U93" s="9">
        <v>1</v>
      </c>
      <c r="V93" s="12" t="s">
        <v>107</v>
      </c>
      <c r="W93" s="129"/>
      <c r="X93" s="3" t="str">
        <f>X22</f>
        <v>弹弓卧推</v>
      </c>
      <c r="Y93" s="4">
        <f>ROUND($E$5*Y22*0.2,0)*5</f>
        <v>180</v>
      </c>
      <c r="Z93" s="9">
        <v>3</v>
      </c>
      <c r="AA93" s="12">
        <v>1</v>
      </c>
      <c r="AB93" s="129"/>
      <c r="AD93" s="3"/>
      <c r="AE93" s="4"/>
      <c r="AF93" s="4"/>
      <c r="AG93" s="4"/>
      <c r="AI93" s="3"/>
      <c r="AJ93" s="4"/>
      <c r="AK93" s="4"/>
      <c r="AL93" s="4"/>
      <c r="AN93" s="264"/>
      <c r="AO93" s="4"/>
      <c r="AP93" s="4"/>
      <c r="AQ93" s="4"/>
    </row>
    <row r="94" spans="3:43">
      <c r="C94" s="188">
        <v>1</v>
      </c>
      <c r="H94" s="129"/>
      <c r="M94" s="129"/>
      <c r="O94" s="4">
        <f t="shared" ref="O94:O95" si="6">ROUND($E$5*O23*0.2,0)*5</f>
        <v>185</v>
      </c>
      <c r="P94" s="4">
        <v>2</v>
      </c>
      <c r="Q94" s="4">
        <v>2</v>
      </c>
      <c r="R94" s="129"/>
      <c r="W94" s="129"/>
      <c r="Y94" s="4">
        <f t="shared" ref="Y94:Y95" si="7">ROUND($E$5*Y23*0.2,0)*5</f>
        <v>190</v>
      </c>
      <c r="Z94" s="4">
        <v>2</v>
      </c>
      <c r="AA94" s="4">
        <v>1</v>
      </c>
      <c r="AB94" s="129"/>
      <c r="AD94" s="3"/>
      <c r="AE94" s="4"/>
      <c r="AF94" s="4"/>
      <c r="AG94" s="4"/>
      <c r="AI94" s="3"/>
      <c r="AJ94" s="4"/>
      <c r="AK94" s="4"/>
      <c r="AL94" s="4"/>
      <c r="AN94" s="3"/>
      <c r="AO94" s="4"/>
      <c r="AP94" s="4"/>
      <c r="AQ94" s="4"/>
    </row>
    <row r="95" spans="3:43">
      <c r="C95" s="188">
        <v>1</v>
      </c>
      <c r="H95" s="129"/>
      <c r="M95" s="129"/>
      <c r="O95" s="4">
        <f t="shared" si="6"/>
        <v>195</v>
      </c>
      <c r="P95" s="4">
        <v>1</v>
      </c>
      <c r="Q95" s="4" t="s">
        <v>105</v>
      </c>
      <c r="R95" s="129"/>
      <c r="W95" s="129"/>
      <c r="Y95" s="4">
        <f t="shared" si="7"/>
        <v>200</v>
      </c>
      <c r="Z95" s="4" t="s">
        <v>24</v>
      </c>
      <c r="AA95" s="4">
        <v>1</v>
      </c>
      <c r="AB95" s="129"/>
      <c r="AD95" s="3"/>
      <c r="AE95" s="4"/>
      <c r="AF95" s="4"/>
      <c r="AG95" s="4"/>
      <c r="AI95" s="3"/>
      <c r="AJ95" s="4"/>
      <c r="AK95" s="4"/>
      <c r="AL95" s="4"/>
      <c r="AN95" s="3"/>
      <c r="AO95" s="4"/>
      <c r="AP95" s="4"/>
      <c r="AQ95" s="4"/>
    </row>
    <row r="96" spans="3:43">
      <c r="C96" s="191">
        <v>2</v>
      </c>
      <c r="D96" s="3" t="str">
        <f>D41</f>
        <v>暂停硬拉</v>
      </c>
      <c r="E96" s="4">
        <f>ROUND($E$6*E$41*0.2,0)*5</f>
        <v>175</v>
      </c>
      <c r="F96" s="4">
        <v>3</v>
      </c>
      <c r="G96" s="4" t="s">
        <v>114</v>
      </c>
      <c r="H96" s="129"/>
      <c r="I96" s="3" t="str">
        <f>I41</f>
        <v>暂停硬拉</v>
      </c>
      <c r="J96" s="4">
        <f>ROUND($E$6*J$41*0.2,0)*5</f>
        <v>190</v>
      </c>
      <c r="K96" s="4">
        <v>2</v>
      </c>
      <c r="L96" s="4">
        <v>8</v>
      </c>
      <c r="M96" s="129"/>
      <c r="N96" s="3" t="str">
        <f>N41</f>
        <v>暂停硬拉</v>
      </c>
      <c r="O96" s="4">
        <f>ROUND($E$6*O$41*0.2,0)*5</f>
        <v>205</v>
      </c>
      <c r="P96" s="4">
        <v>1</v>
      </c>
      <c r="Q96" s="4" t="s">
        <v>115</v>
      </c>
      <c r="R96" s="129"/>
      <c r="S96" s="3" t="str">
        <f>S41</f>
        <v>硬拉</v>
      </c>
      <c r="T96" s="4">
        <f>ROUND($E$6*T$41*0.2,0)*5</f>
        <v>220</v>
      </c>
      <c r="U96" s="4">
        <v>5</v>
      </c>
      <c r="V96" s="4" t="s">
        <v>107</v>
      </c>
      <c r="W96" s="129"/>
      <c r="X96" s="3" t="str">
        <f>X41</f>
        <v>硬拉</v>
      </c>
      <c r="Y96" s="4">
        <f>ROUND($E$6*Y$41*0.2,0)*5</f>
        <v>160</v>
      </c>
      <c r="Z96" s="93" t="s">
        <v>24</v>
      </c>
      <c r="AA96" s="93">
        <v>1</v>
      </c>
      <c r="AB96" s="129"/>
      <c r="AD96" s="3"/>
      <c r="AE96" s="4"/>
      <c r="AF96" s="4"/>
      <c r="AG96" s="4"/>
      <c r="AI96" s="3"/>
      <c r="AJ96" s="4"/>
      <c r="AK96" s="262"/>
      <c r="AL96" s="262"/>
      <c r="AN96" s="3"/>
      <c r="AO96" s="4"/>
      <c r="AP96" s="4"/>
      <c r="AQ96" s="4"/>
    </row>
    <row r="97" hidden="1" spans="3:43">
      <c r="C97" s="191">
        <v>2</v>
      </c>
      <c r="E97" s="93"/>
      <c r="H97" s="129"/>
      <c r="J97" s="93"/>
      <c r="M97" s="129"/>
      <c r="O97" s="93"/>
      <c r="R97" s="129"/>
      <c r="T97" s="93"/>
      <c r="W97" s="129"/>
      <c r="Y97" s="93"/>
      <c r="AB97" s="129"/>
      <c r="AD97" s="3"/>
      <c r="AE97" s="262"/>
      <c r="AF97" s="4"/>
      <c r="AG97" s="4"/>
      <c r="AI97" s="3"/>
      <c r="AJ97" s="262"/>
      <c r="AK97" s="262"/>
      <c r="AL97" s="262"/>
      <c r="AN97" s="3"/>
      <c r="AO97" s="262"/>
      <c r="AP97" s="4"/>
      <c r="AQ97" s="4"/>
    </row>
    <row r="98" spans="3:43">
      <c r="C98" s="192">
        <v>3</v>
      </c>
      <c r="D98" s="3" t="s">
        <v>122</v>
      </c>
      <c r="E98" s="4" t="s">
        <v>111</v>
      </c>
      <c r="F98" s="4" t="s">
        <v>24</v>
      </c>
      <c r="G98" s="4">
        <v>5</v>
      </c>
      <c r="H98" s="129"/>
      <c r="I98" s="3" t="s">
        <v>122</v>
      </c>
      <c r="J98" s="4" t="s">
        <v>111</v>
      </c>
      <c r="K98" s="4" t="s">
        <v>24</v>
      </c>
      <c r="L98" s="4">
        <v>5</v>
      </c>
      <c r="M98" s="129"/>
      <c r="N98" s="3" t="s">
        <v>122</v>
      </c>
      <c r="O98" s="4" t="s">
        <v>111</v>
      </c>
      <c r="P98" s="4" t="s">
        <v>24</v>
      </c>
      <c r="Q98" s="4">
        <v>4</v>
      </c>
      <c r="R98" s="129"/>
      <c r="S98" s="3" t="s">
        <v>122</v>
      </c>
      <c r="T98" s="4" t="s">
        <v>111</v>
      </c>
      <c r="U98" s="93" t="s">
        <v>24</v>
      </c>
      <c r="V98" s="93">
        <v>3</v>
      </c>
      <c r="W98" s="129"/>
      <c r="X98" s="3" t="s">
        <v>122</v>
      </c>
      <c r="Y98" s="4" t="s">
        <v>111</v>
      </c>
      <c r="Z98" s="93" t="s">
        <v>24</v>
      </c>
      <c r="AA98" s="93">
        <v>1</v>
      </c>
      <c r="AB98" s="129"/>
      <c r="AD98" s="3"/>
      <c r="AE98" s="262"/>
      <c r="AF98" s="262"/>
      <c r="AG98" s="4"/>
      <c r="AI98" s="263"/>
      <c r="AJ98" s="262"/>
      <c r="AK98" s="262"/>
      <c r="AL98" s="262"/>
      <c r="AN98" s="3"/>
      <c r="AO98" s="4"/>
      <c r="AP98" s="262"/>
      <c r="AQ98" s="4"/>
    </row>
    <row r="99" spans="3:43">
      <c r="C99" s="192">
        <v>3</v>
      </c>
      <c r="D99" s="3" t="s">
        <v>123</v>
      </c>
      <c r="E99" s="4" t="s">
        <v>111</v>
      </c>
      <c r="F99" s="4" t="s">
        <v>24</v>
      </c>
      <c r="G99" s="4">
        <v>5</v>
      </c>
      <c r="H99" s="129"/>
      <c r="I99" s="3" t="s">
        <v>123</v>
      </c>
      <c r="J99" s="4" t="s">
        <v>111</v>
      </c>
      <c r="K99" s="4" t="s">
        <v>24</v>
      </c>
      <c r="L99" s="4">
        <v>5</v>
      </c>
      <c r="M99" s="129"/>
      <c r="N99" s="3" t="s">
        <v>123</v>
      </c>
      <c r="O99" s="4" t="s">
        <v>111</v>
      </c>
      <c r="P99" s="4" t="s">
        <v>24</v>
      </c>
      <c r="Q99" s="4">
        <v>4</v>
      </c>
      <c r="R99" s="129"/>
      <c r="S99" s="3" t="s">
        <v>123</v>
      </c>
      <c r="T99" s="4" t="s">
        <v>111</v>
      </c>
      <c r="U99" s="93" t="s">
        <v>24</v>
      </c>
      <c r="V99" s="93">
        <v>3</v>
      </c>
      <c r="W99" s="129"/>
      <c r="X99" s="3" t="s">
        <v>123</v>
      </c>
      <c r="Y99" s="4" t="s">
        <v>111</v>
      </c>
      <c r="Z99" s="93" t="s">
        <v>24</v>
      </c>
      <c r="AA99" s="93">
        <v>1</v>
      </c>
      <c r="AB99" s="129"/>
      <c r="AD99" s="3"/>
      <c r="AE99" s="262"/>
      <c r="AF99" s="262"/>
      <c r="AG99" s="4"/>
      <c r="AI99" s="263"/>
      <c r="AJ99" s="262"/>
      <c r="AK99" s="262"/>
      <c r="AL99" s="262"/>
      <c r="AN99" s="3"/>
      <c r="AO99" s="262"/>
      <c r="AP99" s="262"/>
      <c r="AQ99" s="4"/>
    </row>
    <row r="100" spans="3:43">
      <c r="C100" s="192">
        <v>3</v>
      </c>
      <c r="D100" s="3" t="s">
        <v>124</v>
      </c>
      <c r="E100" s="4" t="s">
        <v>111</v>
      </c>
      <c r="F100" s="4" t="s">
        <v>24</v>
      </c>
      <c r="G100" s="4">
        <v>5</v>
      </c>
      <c r="H100" s="129"/>
      <c r="I100" s="3" t="s">
        <v>124</v>
      </c>
      <c r="J100" s="4" t="s">
        <v>111</v>
      </c>
      <c r="K100" s="4" t="s">
        <v>24</v>
      </c>
      <c r="L100" s="4">
        <v>5</v>
      </c>
      <c r="M100" s="129"/>
      <c r="N100" s="3" t="s">
        <v>124</v>
      </c>
      <c r="O100" s="4" t="s">
        <v>111</v>
      </c>
      <c r="P100" s="4" t="s">
        <v>24</v>
      </c>
      <c r="Q100" s="4">
        <v>4</v>
      </c>
      <c r="R100" s="129"/>
      <c r="S100" s="3" t="s">
        <v>124</v>
      </c>
      <c r="T100" s="4" t="s">
        <v>111</v>
      </c>
      <c r="U100" s="93" t="s">
        <v>24</v>
      </c>
      <c r="V100" s="93">
        <v>3</v>
      </c>
      <c r="W100" s="129"/>
      <c r="X100" s="3" t="s">
        <v>124</v>
      </c>
      <c r="Y100" s="4" t="s">
        <v>111</v>
      </c>
      <c r="Z100" s="93" t="s">
        <v>24</v>
      </c>
      <c r="AA100" s="93">
        <v>1</v>
      </c>
      <c r="AB100" s="129"/>
      <c r="AD100" s="263"/>
      <c r="AE100" s="262"/>
      <c r="AF100" s="262"/>
      <c r="AG100" s="4"/>
      <c r="AI100" s="263"/>
      <c r="AJ100" s="262"/>
      <c r="AK100" s="262"/>
      <c r="AL100" s="262"/>
      <c r="AN100" s="3"/>
      <c r="AO100" s="262"/>
      <c r="AP100" s="262"/>
      <c r="AQ100" s="4"/>
    </row>
    <row r="101" spans="3:43">
      <c r="C101" s="197"/>
      <c r="D101" s="121" t="s">
        <v>63</v>
      </c>
      <c r="E101" s="173"/>
      <c r="F101" s="173"/>
      <c r="G101" s="173"/>
      <c r="H101" s="129"/>
      <c r="I101" s="121" t="s">
        <v>63</v>
      </c>
      <c r="J101" s="173"/>
      <c r="K101" s="173"/>
      <c r="L101" s="173"/>
      <c r="M101" s="129"/>
      <c r="N101" s="121" t="s">
        <v>63</v>
      </c>
      <c r="O101" s="173"/>
      <c r="P101" s="173"/>
      <c r="Q101" s="173"/>
      <c r="R101" s="129"/>
      <c r="S101" s="121" t="s">
        <v>63</v>
      </c>
      <c r="T101" s="173"/>
      <c r="U101" s="173"/>
      <c r="V101" s="173"/>
      <c r="W101" s="129"/>
      <c r="X101" s="121" t="s">
        <v>63</v>
      </c>
      <c r="Y101" s="173"/>
      <c r="Z101" s="173"/>
      <c r="AA101" s="173"/>
      <c r="AB101" s="129"/>
      <c r="AD101" s="29"/>
      <c r="AE101" s="260"/>
      <c r="AF101" s="260"/>
      <c r="AG101" s="260"/>
      <c r="AI101" s="29"/>
      <c r="AJ101" s="260"/>
      <c r="AK101" s="260"/>
      <c r="AL101" s="260"/>
      <c r="AN101" s="29"/>
      <c r="AO101" s="260"/>
      <c r="AP101" s="260"/>
      <c r="AQ101" s="260"/>
    </row>
    <row r="102" spans="3:43">
      <c r="C102" s="187" t="s">
        <v>98</v>
      </c>
      <c r="D102" s="137" t="s">
        <v>99</v>
      </c>
      <c r="E102" s="136" t="s">
        <v>100</v>
      </c>
      <c r="F102" s="136" t="s">
        <v>101</v>
      </c>
      <c r="G102" s="136" t="s">
        <v>102</v>
      </c>
      <c r="H102" s="129"/>
      <c r="I102" s="137" t="s">
        <v>99</v>
      </c>
      <c r="J102" s="136" t="s">
        <v>100</v>
      </c>
      <c r="K102" s="136" t="s">
        <v>101</v>
      </c>
      <c r="L102" s="136" t="s">
        <v>102</v>
      </c>
      <c r="M102" s="129"/>
      <c r="N102" s="137" t="s">
        <v>99</v>
      </c>
      <c r="O102" s="136" t="s">
        <v>100</v>
      </c>
      <c r="P102" s="136" t="s">
        <v>101</v>
      </c>
      <c r="Q102" s="136" t="s">
        <v>102</v>
      </c>
      <c r="R102" s="129"/>
      <c r="S102" s="137" t="s">
        <v>99</v>
      </c>
      <c r="T102" s="136" t="s">
        <v>100</v>
      </c>
      <c r="U102" s="136" t="s">
        <v>101</v>
      </c>
      <c r="V102" s="136" t="s">
        <v>102</v>
      </c>
      <c r="W102" s="129"/>
      <c r="X102" s="137" t="s">
        <v>99</v>
      </c>
      <c r="Y102" s="136" t="s">
        <v>100</v>
      </c>
      <c r="Z102" s="136" t="s">
        <v>101</v>
      </c>
      <c r="AA102" s="136" t="s">
        <v>102</v>
      </c>
      <c r="AB102" s="129"/>
      <c r="AD102" s="29"/>
      <c r="AE102" s="2"/>
      <c r="AF102" s="2"/>
      <c r="AG102" s="2"/>
      <c r="AI102" s="29"/>
      <c r="AJ102" s="2"/>
      <c r="AK102" s="2"/>
      <c r="AL102" s="2"/>
      <c r="AN102" s="29"/>
      <c r="AO102" s="2"/>
      <c r="AP102" s="2"/>
      <c r="AQ102" s="2"/>
    </row>
    <row r="103" spans="3:43">
      <c r="C103" s="188">
        <v>1</v>
      </c>
      <c r="D103" s="3" t="str">
        <f>D25</f>
        <v>高杠深蹲</v>
      </c>
      <c r="E103" s="4">
        <f>ROUND($O$5*E25*0.2,0)*5</f>
        <v>140</v>
      </c>
      <c r="F103" s="9">
        <v>4</v>
      </c>
      <c r="G103" s="12" t="s">
        <v>105</v>
      </c>
      <c r="H103" s="129"/>
      <c r="I103" s="3" t="str">
        <f>I25</f>
        <v>高杠深蹲</v>
      </c>
      <c r="J103" s="4">
        <f>ROUND($O$5*J25*0.2,0)*5</f>
        <v>150</v>
      </c>
      <c r="K103" s="9">
        <v>3</v>
      </c>
      <c r="L103" s="12" t="s">
        <v>106</v>
      </c>
      <c r="M103" s="129"/>
      <c r="N103" s="3" t="str">
        <f>N25</f>
        <v>高杠深蹲</v>
      </c>
      <c r="O103" s="4">
        <f>ROUND($O$5*O25*0.2,0)*5</f>
        <v>145</v>
      </c>
      <c r="P103" s="9">
        <v>3</v>
      </c>
      <c r="Q103" s="12">
        <v>1</v>
      </c>
      <c r="R103" s="129"/>
      <c r="S103" s="3" t="str">
        <f>S25</f>
        <v>高杠深蹲</v>
      </c>
      <c r="T103" s="4">
        <f>ROUND($O$5*T25*0.2,0)*5</f>
        <v>155</v>
      </c>
      <c r="U103" s="9">
        <v>1</v>
      </c>
      <c r="V103" s="12" t="s">
        <v>107</v>
      </c>
      <c r="W103" s="129"/>
      <c r="X103" s="3" t="str">
        <f>X25</f>
        <v>高杠深蹲</v>
      </c>
      <c r="Y103" s="4">
        <f>ROUND($O$5*Y25*0.2,0)*5</f>
        <v>150</v>
      </c>
      <c r="Z103" s="9">
        <v>3</v>
      </c>
      <c r="AA103" s="12">
        <v>1</v>
      </c>
      <c r="AB103" s="129"/>
      <c r="AD103" s="264"/>
      <c r="AE103" s="4"/>
      <c r="AF103" s="4"/>
      <c r="AG103" s="4"/>
      <c r="AI103" s="264"/>
      <c r="AJ103" s="4"/>
      <c r="AK103" s="4"/>
      <c r="AL103" s="4"/>
      <c r="AN103" s="264"/>
      <c r="AO103" s="4"/>
      <c r="AP103" s="4"/>
      <c r="AQ103" s="4"/>
    </row>
    <row r="104" spans="3:43">
      <c r="C104" s="188">
        <v>1</v>
      </c>
      <c r="H104" s="129"/>
      <c r="M104" s="129"/>
      <c r="O104" s="4">
        <f t="shared" ref="O104:O105" si="8">ROUND($O$5*O26*0.2,0)*5</f>
        <v>155</v>
      </c>
      <c r="P104" s="4">
        <v>2</v>
      </c>
      <c r="Q104" s="4">
        <v>2</v>
      </c>
      <c r="R104" s="129"/>
      <c r="W104" s="129"/>
      <c r="Y104" s="4">
        <f t="shared" ref="Y104:Y105" si="9">ROUND($O$5*Y26*0.2,0)*5</f>
        <v>155</v>
      </c>
      <c r="Z104" s="4">
        <v>2</v>
      </c>
      <c r="AA104" s="4">
        <v>1</v>
      </c>
      <c r="AB104" s="129"/>
      <c r="AD104" s="3"/>
      <c r="AE104" s="4"/>
      <c r="AF104" s="4"/>
      <c r="AG104" s="4"/>
      <c r="AI104" s="3"/>
      <c r="AJ104" s="4"/>
      <c r="AK104" s="4"/>
      <c r="AL104" s="4"/>
      <c r="AN104" s="3"/>
      <c r="AO104" s="4"/>
      <c r="AP104" s="4"/>
      <c r="AQ104" s="4"/>
    </row>
    <row r="105" spans="3:43">
      <c r="C105" s="188">
        <v>1</v>
      </c>
      <c r="H105" s="129"/>
      <c r="M105" s="129"/>
      <c r="O105" s="4">
        <f t="shared" si="8"/>
        <v>160</v>
      </c>
      <c r="P105" s="4">
        <v>1</v>
      </c>
      <c r="Q105" s="4" t="s">
        <v>105</v>
      </c>
      <c r="R105" s="129"/>
      <c r="W105" s="129"/>
      <c r="Y105" s="4">
        <f t="shared" si="9"/>
        <v>165</v>
      </c>
      <c r="Z105" s="4" t="s">
        <v>24</v>
      </c>
      <c r="AA105" s="4">
        <v>1</v>
      </c>
      <c r="AB105" s="129"/>
      <c r="AD105" s="3"/>
      <c r="AE105" s="4"/>
      <c r="AF105" s="4"/>
      <c r="AG105" s="4"/>
      <c r="AI105" s="3"/>
      <c r="AJ105" s="4"/>
      <c r="AK105" s="4"/>
      <c r="AL105" s="4"/>
      <c r="AN105" s="3"/>
      <c r="AO105" s="4"/>
      <c r="AP105" s="4"/>
      <c r="AQ105" s="4"/>
    </row>
    <row r="106" spans="3:43">
      <c r="C106" s="191">
        <v>2</v>
      </c>
      <c r="D106" s="3" t="str">
        <f>D43</f>
        <v>窄距卧推</v>
      </c>
      <c r="E106" s="4">
        <f>ROUND($E$5*E$43*0.2,0)*5</f>
        <v>125</v>
      </c>
      <c r="F106" s="4">
        <v>10</v>
      </c>
      <c r="G106" s="4" t="s">
        <v>106</v>
      </c>
      <c r="H106" s="129"/>
      <c r="I106" s="3" t="str">
        <f>I43</f>
        <v>窄距卧推</v>
      </c>
      <c r="J106" s="4">
        <f>ROUND($E$5*J$43*0.2,0)*5</f>
        <v>135</v>
      </c>
      <c r="K106" s="4">
        <v>8</v>
      </c>
      <c r="L106" s="4">
        <v>4</v>
      </c>
      <c r="M106" s="129"/>
      <c r="N106" s="3" t="str">
        <f>N43</f>
        <v>窄距卧推</v>
      </c>
      <c r="O106" s="4">
        <f>ROUND($E$5*O$43*0.2,0)*5</f>
        <v>145</v>
      </c>
      <c r="P106" s="4">
        <v>6</v>
      </c>
      <c r="Q106" s="4">
        <v>4</v>
      </c>
      <c r="R106" s="129"/>
      <c r="S106" s="3" t="str">
        <f>S43</f>
        <v>窄距卧推</v>
      </c>
      <c r="T106" s="4">
        <f>ROUND($E$5*T$43*0.2,0)*5</f>
        <v>150</v>
      </c>
      <c r="U106" s="4">
        <v>5</v>
      </c>
      <c r="V106" s="4" t="s">
        <v>107</v>
      </c>
      <c r="W106" s="129"/>
      <c r="X106" s="3" t="str">
        <f>X43</f>
        <v>窄距卧推</v>
      </c>
      <c r="Y106" s="4">
        <f>ROUND($E$5*Y$43*0.2,0)*5</f>
        <v>115</v>
      </c>
      <c r="Z106" s="93" t="s">
        <v>24</v>
      </c>
      <c r="AA106" s="93">
        <v>1</v>
      </c>
      <c r="AB106" s="129"/>
      <c r="AD106" s="3"/>
      <c r="AE106" s="4"/>
      <c r="AF106" s="4"/>
      <c r="AG106" s="4"/>
      <c r="AI106" s="3"/>
      <c r="AJ106" s="4"/>
      <c r="AK106" s="262"/>
      <c r="AL106" s="262"/>
      <c r="AN106" s="3"/>
      <c r="AO106" s="4"/>
      <c r="AP106" s="4"/>
      <c r="AQ106" s="4"/>
    </row>
    <row r="107" hidden="1" spans="3:43">
      <c r="C107" s="191">
        <v>2</v>
      </c>
      <c r="E107" s="93"/>
      <c r="H107" s="129"/>
      <c r="J107" s="93"/>
      <c r="M107" s="129"/>
      <c r="O107" s="93"/>
      <c r="R107" s="129"/>
      <c r="T107" s="93"/>
      <c r="U107" s="93"/>
      <c r="V107" s="93"/>
      <c r="W107" s="129"/>
      <c r="Y107" s="93"/>
      <c r="AB107" s="129"/>
      <c r="AD107" s="3"/>
      <c r="AE107" s="262"/>
      <c r="AF107" s="4"/>
      <c r="AG107" s="4"/>
      <c r="AI107" s="3"/>
      <c r="AJ107" s="262"/>
      <c r="AK107" s="262"/>
      <c r="AL107" s="262"/>
      <c r="AN107" s="3"/>
      <c r="AO107" s="262"/>
      <c r="AP107" s="4"/>
      <c r="AQ107" s="4"/>
    </row>
    <row r="108" spans="3:43">
      <c r="C108" s="192">
        <v>3</v>
      </c>
      <c r="D108" s="3" t="s">
        <v>125</v>
      </c>
      <c r="E108" s="4" t="s">
        <v>111</v>
      </c>
      <c r="F108" s="4" t="s">
        <v>24</v>
      </c>
      <c r="G108" s="4">
        <v>5</v>
      </c>
      <c r="H108" s="129"/>
      <c r="I108" s="3" t="s">
        <v>125</v>
      </c>
      <c r="J108" s="4" t="s">
        <v>111</v>
      </c>
      <c r="K108" s="4" t="s">
        <v>24</v>
      </c>
      <c r="L108" s="4">
        <v>5</v>
      </c>
      <c r="M108" s="129"/>
      <c r="N108" s="3" t="s">
        <v>125</v>
      </c>
      <c r="O108" s="4" t="s">
        <v>111</v>
      </c>
      <c r="P108" s="4" t="s">
        <v>24</v>
      </c>
      <c r="Q108" s="4">
        <v>4</v>
      </c>
      <c r="R108" s="129"/>
      <c r="S108" s="3" t="s">
        <v>125</v>
      </c>
      <c r="T108" s="4" t="s">
        <v>111</v>
      </c>
      <c r="U108" s="93" t="s">
        <v>24</v>
      </c>
      <c r="V108" s="93">
        <v>3</v>
      </c>
      <c r="W108" s="129"/>
      <c r="X108" s="3" t="s">
        <v>125</v>
      </c>
      <c r="Y108" s="4" t="s">
        <v>111</v>
      </c>
      <c r="Z108" s="93" t="s">
        <v>24</v>
      </c>
      <c r="AA108" s="93">
        <v>1</v>
      </c>
      <c r="AB108" s="129"/>
      <c r="AD108" s="263"/>
      <c r="AE108" s="262"/>
      <c r="AF108" s="262"/>
      <c r="AG108" s="4"/>
      <c r="AI108" s="263"/>
      <c r="AJ108" s="262"/>
      <c r="AK108" s="262"/>
      <c r="AL108" s="262"/>
      <c r="AN108" s="3"/>
      <c r="AO108" s="4"/>
      <c r="AP108" s="262"/>
      <c r="AQ108" s="4"/>
    </row>
    <row r="109" spans="3:43">
      <c r="C109" s="192">
        <v>3</v>
      </c>
      <c r="D109" s="3" t="s">
        <v>126</v>
      </c>
      <c r="E109" s="4" t="s">
        <v>111</v>
      </c>
      <c r="F109" s="4" t="s">
        <v>24</v>
      </c>
      <c r="G109" s="4">
        <v>5</v>
      </c>
      <c r="H109" s="129"/>
      <c r="I109" s="3" t="s">
        <v>126</v>
      </c>
      <c r="J109" s="4" t="s">
        <v>111</v>
      </c>
      <c r="K109" s="4" t="s">
        <v>24</v>
      </c>
      <c r="L109" s="4">
        <v>5</v>
      </c>
      <c r="M109" s="129"/>
      <c r="N109" s="3" t="s">
        <v>126</v>
      </c>
      <c r="O109" s="4" t="s">
        <v>111</v>
      </c>
      <c r="P109" s="4" t="s">
        <v>24</v>
      </c>
      <c r="Q109" s="4">
        <v>4</v>
      </c>
      <c r="R109" s="129"/>
      <c r="S109" s="3" t="s">
        <v>126</v>
      </c>
      <c r="T109" s="4" t="s">
        <v>111</v>
      </c>
      <c r="U109" s="93" t="s">
        <v>24</v>
      </c>
      <c r="V109" s="93">
        <v>3</v>
      </c>
      <c r="W109" s="129"/>
      <c r="X109" s="3" t="s">
        <v>126</v>
      </c>
      <c r="Y109" s="4" t="s">
        <v>111</v>
      </c>
      <c r="Z109" s="93" t="s">
        <v>24</v>
      </c>
      <c r="AA109" s="93">
        <v>1</v>
      </c>
      <c r="AB109" s="129"/>
      <c r="AD109" s="263"/>
      <c r="AE109" s="262"/>
      <c r="AF109" s="262"/>
      <c r="AG109" s="4"/>
      <c r="AI109" s="263"/>
      <c r="AJ109" s="262"/>
      <c r="AK109" s="262"/>
      <c r="AL109" s="262"/>
      <c r="AN109" s="3"/>
      <c r="AO109" s="262"/>
      <c r="AP109" s="262"/>
      <c r="AQ109" s="4"/>
    </row>
    <row r="110" spans="3:43">
      <c r="C110" s="198">
        <v>3</v>
      </c>
      <c r="D110" s="35" t="s">
        <v>127</v>
      </c>
      <c r="E110" s="33" t="s">
        <v>111</v>
      </c>
      <c r="F110" s="33" t="s">
        <v>24</v>
      </c>
      <c r="G110" s="33">
        <v>5</v>
      </c>
      <c r="H110" s="183"/>
      <c r="I110" s="35" t="s">
        <v>127</v>
      </c>
      <c r="J110" s="33" t="s">
        <v>111</v>
      </c>
      <c r="K110" s="33" t="s">
        <v>24</v>
      </c>
      <c r="L110" s="33">
        <v>5</v>
      </c>
      <c r="M110" s="183"/>
      <c r="N110" s="35" t="s">
        <v>127</v>
      </c>
      <c r="O110" s="33" t="s">
        <v>111</v>
      </c>
      <c r="P110" s="33" t="s">
        <v>24</v>
      </c>
      <c r="Q110" s="33">
        <v>4</v>
      </c>
      <c r="R110" s="183"/>
      <c r="S110" s="35" t="s">
        <v>127</v>
      </c>
      <c r="T110" s="33" t="s">
        <v>111</v>
      </c>
      <c r="U110" s="194" t="s">
        <v>24</v>
      </c>
      <c r="V110" s="194">
        <v>3</v>
      </c>
      <c r="W110" s="183"/>
      <c r="X110" s="35" t="s">
        <v>127</v>
      </c>
      <c r="Y110" s="33" t="s">
        <v>111</v>
      </c>
      <c r="Z110" s="194" t="s">
        <v>24</v>
      </c>
      <c r="AA110" s="194">
        <v>1</v>
      </c>
      <c r="AB110" s="183"/>
      <c r="AD110" s="263"/>
      <c r="AE110" s="262"/>
      <c r="AF110" s="262"/>
      <c r="AG110" s="4"/>
      <c r="AI110" s="263"/>
      <c r="AJ110" s="262"/>
      <c r="AK110" s="262"/>
      <c r="AL110" s="262"/>
      <c r="AN110" s="3"/>
      <c r="AO110" s="262"/>
      <c r="AP110" s="262"/>
      <c r="AQ110" s="4"/>
    </row>
    <row r="111" hidden="1" spans="3:43">
      <c r="C111" s="185"/>
      <c r="D111" s="130" t="s">
        <v>64</v>
      </c>
      <c r="E111" s="128"/>
      <c r="F111" s="128"/>
      <c r="G111" s="128"/>
      <c r="H111" s="129"/>
      <c r="I111" s="130" t="s">
        <v>64</v>
      </c>
      <c r="J111" s="128"/>
      <c r="K111" s="128"/>
      <c r="L111" s="128"/>
      <c r="M111" s="129"/>
      <c r="N111" s="130" t="s">
        <v>64</v>
      </c>
      <c r="O111" s="128"/>
      <c r="P111" s="128"/>
      <c r="Q111" s="128"/>
      <c r="R111" s="129"/>
      <c r="S111" s="130" t="s">
        <v>64</v>
      </c>
      <c r="T111" s="128"/>
      <c r="U111" s="128"/>
      <c r="V111" s="132"/>
      <c r="W111" s="129"/>
      <c r="X111" s="130" t="s">
        <v>64</v>
      </c>
      <c r="Y111" s="128"/>
      <c r="Z111" s="128"/>
      <c r="AA111" s="128"/>
      <c r="AB111" s="129"/>
      <c r="AD111" s="29"/>
      <c r="AE111" s="260"/>
      <c r="AF111" s="260"/>
      <c r="AG111" s="260"/>
      <c r="AI111" s="29"/>
      <c r="AJ111" s="260"/>
      <c r="AK111" s="260"/>
      <c r="AL111" s="260"/>
      <c r="AN111" s="29"/>
      <c r="AO111" s="260"/>
      <c r="AP111" s="260"/>
      <c r="AQ111" s="260"/>
    </row>
    <row r="112" hidden="1" spans="3:43">
      <c r="C112" s="187" t="s">
        <v>128</v>
      </c>
      <c r="D112" s="137" t="s">
        <v>99</v>
      </c>
      <c r="E112" s="136" t="s">
        <v>100</v>
      </c>
      <c r="F112" s="136" t="s">
        <v>101</v>
      </c>
      <c r="G112" s="136" t="s">
        <v>102</v>
      </c>
      <c r="H112" s="129"/>
      <c r="I112" s="137" t="s">
        <v>99</v>
      </c>
      <c r="J112" s="136" t="s">
        <v>100</v>
      </c>
      <c r="K112" s="136" t="s">
        <v>101</v>
      </c>
      <c r="L112" s="136" t="s">
        <v>102</v>
      </c>
      <c r="M112" s="129"/>
      <c r="N112" s="137" t="s">
        <v>99</v>
      </c>
      <c r="O112" s="136" t="s">
        <v>100</v>
      </c>
      <c r="P112" s="136" t="s">
        <v>101</v>
      </c>
      <c r="Q112" s="136" t="s">
        <v>102</v>
      </c>
      <c r="R112" s="129"/>
      <c r="S112" s="137" t="s">
        <v>99</v>
      </c>
      <c r="T112" s="136" t="s">
        <v>100</v>
      </c>
      <c r="U112" s="136" t="s">
        <v>101</v>
      </c>
      <c r="V112" s="136" t="s">
        <v>102</v>
      </c>
      <c r="W112" s="129"/>
      <c r="X112" s="137" t="s">
        <v>99</v>
      </c>
      <c r="Y112" s="136" t="s">
        <v>100</v>
      </c>
      <c r="Z112" s="136" t="s">
        <v>101</v>
      </c>
      <c r="AA112" s="136" t="s">
        <v>102</v>
      </c>
      <c r="AB112" s="129"/>
      <c r="AD112" s="29"/>
      <c r="AE112" s="2"/>
      <c r="AF112" s="2"/>
      <c r="AG112" s="2"/>
      <c r="AI112" s="29"/>
      <c r="AJ112" s="2"/>
      <c r="AK112" s="2"/>
      <c r="AL112" s="2"/>
      <c r="AN112" s="29"/>
      <c r="AO112" s="2"/>
      <c r="AP112" s="2"/>
      <c r="AQ112" s="2"/>
    </row>
    <row r="113" ht="15" hidden="1" customHeight="1" spans="3:43">
      <c r="C113" s="188">
        <v>1</v>
      </c>
      <c r="D113" s="3" t="str">
        <f>D28</f>
        <v>休息</v>
      </c>
      <c r="G113" s="21"/>
      <c r="H113" s="129"/>
      <c r="I113" s="3" t="str">
        <f>I28</f>
        <v>休息</v>
      </c>
      <c r="L113" s="21"/>
      <c r="M113" s="129"/>
      <c r="N113" s="3" t="str">
        <f>N28</f>
        <v>休息</v>
      </c>
      <c r="Q113" s="21"/>
      <c r="R113" s="129"/>
      <c r="S113" s="3" t="str">
        <f>S28</f>
        <v>休息</v>
      </c>
      <c r="W113" s="129"/>
      <c r="X113" s="3" t="str">
        <f>X28</f>
        <v>休息</v>
      </c>
      <c r="AA113" s="21"/>
      <c r="AB113" s="129"/>
      <c r="AD113" s="3"/>
      <c r="AE113" s="4"/>
      <c r="AF113" s="4"/>
      <c r="AG113" s="4"/>
      <c r="AI113" s="3"/>
      <c r="AJ113" s="4"/>
      <c r="AK113" s="4"/>
      <c r="AL113" s="4"/>
      <c r="AN113" s="3"/>
      <c r="AO113" s="4"/>
      <c r="AP113" s="4"/>
      <c r="AQ113" s="4"/>
    </row>
    <row r="114" hidden="1" spans="3:43">
      <c r="C114" s="188">
        <v>1</v>
      </c>
      <c r="H114" s="129"/>
      <c r="M114" s="129"/>
      <c r="R114" s="129"/>
      <c r="W114" s="129"/>
      <c r="AB114" s="129"/>
      <c r="AD114" s="3"/>
      <c r="AE114" s="4"/>
      <c r="AF114" s="4"/>
      <c r="AG114" s="4"/>
      <c r="AI114" s="3"/>
      <c r="AJ114" s="4"/>
      <c r="AK114" s="4"/>
      <c r="AL114" s="4"/>
      <c r="AN114" s="3"/>
      <c r="AO114" s="4"/>
      <c r="AP114" s="4"/>
      <c r="AQ114" s="4"/>
    </row>
    <row r="115" hidden="1" spans="3:43">
      <c r="C115" s="188">
        <v>1</v>
      </c>
      <c r="H115" s="129"/>
      <c r="M115" s="129"/>
      <c r="R115" s="129"/>
      <c r="W115" s="129"/>
      <c r="AB115" s="129"/>
      <c r="AD115" s="3"/>
      <c r="AE115" s="4"/>
      <c r="AF115" s="4"/>
      <c r="AG115" s="4"/>
      <c r="AI115" s="3"/>
      <c r="AJ115" s="4"/>
      <c r="AK115" s="4"/>
      <c r="AL115" s="4"/>
      <c r="AN115" s="3"/>
      <c r="AO115" s="4"/>
      <c r="AP115" s="4"/>
      <c r="AQ115" s="4"/>
    </row>
    <row r="116" hidden="1" spans="3:43">
      <c r="C116" s="191">
        <v>2</v>
      </c>
      <c r="D116" s="3" t="s">
        <v>65</v>
      </c>
      <c r="E116" s="93"/>
      <c r="H116" s="129"/>
      <c r="I116" s="3" t="s">
        <v>65</v>
      </c>
      <c r="J116" s="93"/>
      <c r="M116" s="129"/>
      <c r="N116" s="3" t="s">
        <v>65</v>
      </c>
      <c r="O116" s="93"/>
      <c r="R116" s="129"/>
      <c r="S116" s="3" t="s">
        <v>65</v>
      </c>
      <c r="T116" s="93"/>
      <c r="U116" s="93"/>
      <c r="V116" s="93"/>
      <c r="W116" s="129"/>
      <c r="X116" s="3" t="s">
        <v>65</v>
      </c>
      <c r="Y116" s="93"/>
      <c r="AB116" s="129"/>
      <c r="AD116" s="3"/>
      <c r="AE116" s="262"/>
      <c r="AF116" s="4"/>
      <c r="AG116" s="4"/>
      <c r="AI116" s="3"/>
      <c r="AJ116" s="262"/>
      <c r="AK116" s="262"/>
      <c r="AL116" s="262"/>
      <c r="AN116" s="3"/>
      <c r="AO116" s="262"/>
      <c r="AP116" s="4"/>
      <c r="AQ116" s="4"/>
    </row>
    <row r="117" hidden="1" spans="3:43">
      <c r="C117" s="191">
        <v>2</v>
      </c>
      <c r="E117" s="93"/>
      <c r="H117" s="129"/>
      <c r="J117" s="93"/>
      <c r="M117" s="129"/>
      <c r="O117" s="93"/>
      <c r="R117" s="129"/>
      <c r="T117" s="93"/>
      <c r="U117" s="93"/>
      <c r="V117" s="93"/>
      <c r="W117" s="129"/>
      <c r="Y117" s="93"/>
      <c r="AB117" s="129"/>
      <c r="AD117" s="3"/>
      <c r="AE117" s="262"/>
      <c r="AF117" s="4"/>
      <c r="AG117" s="4"/>
      <c r="AI117" s="3"/>
      <c r="AJ117" s="262"/>
      <c r="AK117" s="262"/>
      <c r="AL117" s="262"/>
      <c r="AN117" s="3"/>
      <c r="AO117" s="262"/>
      <c r="AP117" s="4"/>
      <c r="AQ117" s="4"/>
    </row>
    <row r="118" hidden="1" spans="3:43">
      <c r="C118" s="192">
        <v>3</v>
      </c>
      <c r="D118" s="3" t="s">
        <v>65</v>
      </c>
      <c r="H118" s="129"/>
      <c r="I118" s="3" t="s">
        <v>65</v>
      </c>
      <c r="M118" s="129"/>
      <c r="N118" s="3" t="s">
        <v>65</v>
      </c>
      <c r="R118" s="129"/>
      <c r="S118" s="3" t="s">
        <v>65</v>
      </c>
      <c r="U118" s="93"/>
      <c r="V118" s="93"/>
      <c r="W118" s="129"/>
      <c r="X118" s="3" t="s">
        <v>65</v>
      </c>
      <c r="AB118" s="129"/>
      <c r="AD118" s="3"/>
      <c r="AE118" s="4"/>
      <c r="AF118" s="4"/>
      <c r="AG118" s="4"/>
      <c r="AI118" s="3"/>
      <c r="AJ118" s="4"/>
      <c r="AK118" s="262"/>
      <c r="AL118" s="262"/>
      <c r="AN118" s="3"/>
      <c r="AO118" s="4"/>
      <c r="AP118" s="4"/>
      <c r="AQ118" s="4"/>
    </row>
    <row r="119" hidden="1" spans="3:43">
      <c r="C119" s="192">
        <v>3</v>
      </c>
      <c r="H119" s="129"/>
      <c r="M119" s="129"/>
      <c r="R119" s="129"/>
      <c r="T119" s="93"/>
      <c r="U119" s="93"/>
      <c r="V119" s="193"/>
      <c r="W119" s="129"/>
      <c r="AB119" s="129"/>
      <c r="AD119" s="3"/>
      <c r="AE119" s="4"/>
      <c r="AF119" s="4"/>
      <c r="AG119" s="4"/>
      <c r="AI119" s="3"/>
      <c r="AJ119" s="262"/>
      <c r="AK119" s="262"/>
      <c r="AL119" s="262"/>
      <c r="AN119" s="3"/>
      <c r="AO119" s="4"/>
      <c r="AP119" s="4"/>
      <c r="AQ119" s="4"/>
    </row>
    <row r="120" hidden="1" spans="3:43">
      <c r="C120" s="192">
        <v>3</v>
      </c>
      <c r="D120" s="35"/>
      <c r="E120" s="33"/>
      <c r="F120" s="33"/>
      <c r="G120" s="33"/>
      <c r="H120" s="129"/>
      <c r="I120" s="35"/>
      <c r="J120" s="33"/>
      <c r="K120" s="33"/>
      <c r="L120" s="33"/>
      <c r="M120" s="129"/>
      <c r="N120" s="35"/>
      <c r="O120" s="33"/>
      <c r="P120" s="33"/>
      <c r="Q120" s="33"/>
      <c r="R120" s="129"/>
      <c r="S120" s="35"/>
      <c r="T120" s="33"/>
      <c r="U120" s="194"/>
      <c r="V120" s="195"/>
      <c r="W120" s="129"/>
      <c r="X120" s="35"/>
      <c r="Y120" s="33"/>
      <c r="Z120" s="33"/>
      <c r="AA120" s="33"/>
      <c r="AB120" s="129"/>
      <c r="AD120" s="3"/>
      <c r="AE120" s="4"/>
      <c r="AF120" s="4"/>
      <c r="AG120" s="4"/>
      <c r="AI120" s="3"/>
      <c r="AJ120" s="4"/>
      <c r="AK120" s="262"/>
      <c r="AL120" s="262"/>
      <c r="AN120" s="3"/>
      <c r="AO120" s="4"/>
      <c r="AP120" s="4"/>
      <c r="AQ120" s="4"/>
    </row>
    <row r="121" hidden="1" spans="3:43">
      <c r="C121" s="197"/>
      <c r="D121" s="121" t="s">
        <v>66</v>
      </c>
      <c r="E121" s="173"/>
      <c r="F121" s="173"/>
      <c r="G121" s="173"/>
      <c r="H121" s="129"/>
      <c r="I121" s="121" t="s">
        <v>66</v>
      </c>
      <c r="J121" s="173"/>
      <c r="K121" s="173"/>
      <c r="L121" s="173"/>
      <c r="M121" s="129"/>
      <c r="N121" s="121" t="s">
        <v>66</v>
      </c>
      <c r="O121" s="173"/>
      <c r="P121" s="173"/>
      <c r="Q121" s="173"/>
      <c r="R121" s="129"/>
      <c r="S121" s="121" t="s">
        <v>66</v>
      </c>
      <c r="T121" s="173"/>
      <c r="U121" s="173"/>
      <c r="V121" s="174"/>
      <c r="W121" s="129"/>
      <c r="X121" s="121" t="s">
        <v>66</v>
      </c>
      <c r="Y121" s="173"/>
      <c r="Z121" s="173"/>
      <c r="AA121" s="173"/>
      <c r="AB121" s="129"/>
      <c r="AD121" s="29"/>
      <c r="AE121" s="260"/>
      <c r="AF121" s="260"/>
      <c r="AG121" s="260"/>
      <c r="AI121" s="29"/>
      <c r="AJ121" s="260"/>
      <c r="AK121" s="260"/>
      <c r="AL121" s="260"/>
      <c r="AN121" s="29"/>
      <c r="AO121" s="260"/>
      <c r="AP121" s="260"/>
      <c r="AQ121" s="260"/>
    </row>
    <row r="122" hidden="1" spans="3:43">
      <c r="C122" s="187" t="s">
        <v>128</v>
      </c>
      <c r="D122" s="137" t="s">
        <v>99</v>
      </c>
      <c r="E122" s="136" t="s">
        <v>100</v>
      </c>
      <c r="F122" s="136" t="s">
        <v>101</v>
      </c>
      <c r="G122" s="136" t="s">
        <v>102</v>
      </c>
      <c r="H122" s="129"/>
      <c r="I122" s="137" t="s">
        <v>99</v>
      </c>
      <c r="J122" s="136" t="s">
        <v>100</v>
      </c>
      <c r="K122" s="136" t="s">
        <v>101</v>
      </c>
      <c r="L122" s="136" t="s">
        <v>102</v>
      </c>
      <c r="M122" s="129"/>
      <c r="N122" s="137" t="s">
        <v>99</v>
      </c>
      <c r="O122" s="136" t="s">
        <v>100</v>
      </c>
      <c r="P122" s="136" t="s">
        <v>101</v>
      </c>
      <c r="Q122" s="136" t="s">
        <v>102</v>
      </c>
      <c r="R122" s="129"/>
      <c r="S122" s="137" t="s">
        <v>99</v>
      </c>
      <c r="T122" s="136" t="s">
        <v>100</v>
      </c>
      <c r="U122" s="136" t="s">
        <v>101</v>
      </c>
      <c r="V122" s="136" t="s">
        <v>102</v>
      </c>
      <c r="W122" s="129"/>
      <c r="X122" s="137" t="s">
        <v>99</v>
      </c>
      <c r="Y122" s="136" t="s">
        <v>100</v>
      </c>
      <c r="Z122" s="136" t="s">
        <v>101</v>
      </c>
      <c r="AA122" s="136" t="s">
        <v>102</v>
      </c>
      <c r="AB122" s="129"/>
      <c r="AD122" s="29"/>
      <c r="AE122" s="2"/>
      <c r="AF122" s="2"/>
      <c r="AG122" s="2"/>
      <c r="AI122" s="29"/>
      <c r="AJ122" s="2"/>
      <c r="AK122" s="2"/>
      <c r="AL122" s="2"/>
      <c r="AN122" s="29"/>
      <c r="AO122" s="2"/>
      <c r="AP122" s="2"/>
      <c r="AQ122" s="2"/>
    </row>
    <row r="123" ht="15" hidden="1" customHeight="1" spans="3:43">
      <c r="C123" s="188">
        <v>1</v>
      </c>
      <c r="D123" s="3" t="str">
        <f>D31</f>
        <v>休息</v>
      </c>
      <c r="G123" s="21"/>
      <c r="H123" s="129"/>
      <c r="I123" s="3" t="str">
        <f>I31</f>
        <v>休息</v>
      </c>
      <c r="L123" s="21"/>
      <c r="M123" s="129"/>
      <c r="N123" s="3" t="str">
        <f>N31</f>
        <v>休息</v>
      </c>
      <c r="Q123" s="21"/>
      <c r="R123" s="129"/>
      <c r="S123" s="3" t="str">
        <f>S31</f>
        <v>休息</v>
      </c>
      <c r="W123" s="129"/>
      <c r="X123" s="3" t="str">
        <f>X31</f>
        <v>休息</v>
      </c>
      <c r="AA123" s="21"/>
      <c r="AB123" s="129"/>
      <c r="AD123" s="3"/>
      <c r="AE123" s="4"/>
      <c r="AF123" s="4"/>
      <c r="AG123" s="4"/>
      <c r="AI123" s="3"/>
      <c r="AJ123" s="4"/>
      <c r="AK123" s="4"/>
      <c r="AL123" s="4"/>
      <c r="AN123" s="3"/>
      <c r="AO123" s="4"/>
      <c r="AP123" s="4"/>
      <c r="AQ123" s="4"/>
    </row>
    <row r="124" hidden="1" spans="3:43">
      <c r="C124" s="188">
        <v>1</v>
      </c>
      <c r="H124" s="129"/>
      <c r="M124" s="129"/>
      <c r="R124" s="129"/>
      <c r="W124" s="129"/>
      <c r="AB124" s="129"/>
      <c r="AD124" s="3"/>
      <c r="AE124" s="4"/>
      <c r="AF124" s="4"/>
      <c r="AG124" s="4"/>
      <c r="AI124" s="3"/>
      <c r="AJ124" s="4"/>
      <c r="AK124" s="4"/>
      <c r="AL124" s="4"/>
      <c r="AN124" s="3"/>
      <c r="AO124" s="4"/>
      <c r="AP124" s="4"/>
      <c r="AQ124" s="4"/>
    </row>
    <row r="125" hidden="1" spans="3:43">
      <c r="C125" s="188">
        <v>1</v>
      </c>
      <c r="H125" s="129"/>
      <c r="M125" s="129"/>
      <c r="R125" s="129"/>
      <c r="W125" s="129"/>
      <c r="AB125" s="129"/>
      <c r="AD125" s="3"/>
      <c r="AE125" s="4"/>
      <c r="AF125" s="4"/>
      <c r="AG125" s="4"/>
      <c r="AI125" s="3"/>
      <c r="AJ125" s="4"/>
      <c r="AK125" s="4"/>
      <c r="AL125" s="4"/>
      <c r="AN125" s="3"/>
      <c r="AO125" s="4"/>
      <c r="AP125" s="4"/>
      <c r="AQ125" s="4"/>
    </row>
    <row r="126" hidden="1" spans="3:43">
      <c r="C126" s="191">
        <v>2</v>
      </c>
      <c r="D126" s="3" t="s">
        <v>65</v>
      </c>
      <c r="E126" s="93"/>
      <c r="H126" s="129"/>
      <c r="I126" s="3" t="s">
        <v>65</v>
      </c>
      <c r="J126" s="93"/>
      <c r="M126" s="129"/>
      <c r="N126" s="3" t="s">
        <v>65</v>
      </c>
      <c r="O126" s="93"/>
      <c r="R126" s="129"/>
      <c r="S126" s="3" t="s">
        <v>65</v>
      </c>
      <c r="T126" s="93"/>
      <c r="U126" s="93"/>
      <c r="V126" s="93"/>
      <c r="W126" s="129"/>
      <c r="X126" s="3" t="s">
        <v>65</v>
      </c>
      <c r="Y126" s="93"/>
      <c r="AB126" s="129"/>
      <c r="AD126" s="3"/>
      <c r="AE126" s="262"/>
      <c r="AF126" s="4"/>
      <c r="AG126" s="4"/>
      <c r="AI126" s="3"/>
      <c r="AJ126" s="262"/>
      <c r="AK126" s="262"/>
      <c r="AL126" s="262"/>
      <c r="AN126" s="3"/>
      <c r="AO126" s="262"/>
      <c r="AP126" s="4"/>
      <c r="AQ126" s="4"/>
    </row>
    <row r="127" hidden="1" spans="3:43">
      <c r="C127" s="191">
        <v>2</v>
      </c>
      <c r="E127" s="93"/>
      <c r="H127" s="129"/>
      <c r="J127" s="93"/>
      <c r="M127" s="129"/>
      <c r="O127" s="93"/>
      <c r="R127" s="129"/>
      <c r="T127" s="93"/>
      <c r="U127" s="93"/>
      <c r="V127" s="93"/>
      <c r="W127" s="129"/>
      <c r="Y127" s="93"/>
      <c r="AB127" s="129"/>
      <c r="AD127" s="3"/>
      <c r="AE127" s="262"/>
      <c r="AF127" s="4"/>
      <c r="AG127" s="4"/>
      <c r="AI127" s="3"/>
      <c r="AJ127" s="262"/>
      <c r="AK127" s="262"/>
      <c r="AL127" s="262"/>
      <c r="AN127" s="3"/>
      <c r="AO127" s="262"/>
      <c r="AP127" s="4"/>
      <c r="AQ127" s="4"/>
    </row>
    <row r="128" hidden="1" spans="3:43">
      <c r="C128" s="192">
        <v>3</v>
      </c>
      <c r="D128" s="3" t="s">
        <v>65</v>
      </c>
      <c r="H128" s="129"/>
      <c r="I128" s="3" t="s">
        <v>65</v>
      </c>
      <c r="M128" s="129"/>
      <c r="N128" s="3" t="s">
        <v>65</v>
      </c>
      <c r="R128" s="129"/>
      <c r="S128" s="3" t="s">
        <v>65</v>
      </c>
      <c r="U128" s="93"/>
      <c r="V128" s="93"/>
      <c r="W128" s="129"/>
      <c r="X128" s="3" t="s">
        <v>65</v>
      </c>
      <c r="AB128" s="129"/>
      <c r="AD128" s="3"/>
      <c r="AE128" s="4"/>
      <c r="AF128" s="4"/>
      <c r="AG128" s="4"/>
      <c r="AI128" s="3"/>
      <c r="AJ128" s="4"/>
      <c r="AK128" s="262"/>
      <c r="AL128" s="262"/>
      <c r="AN128" s="3"/>
      <c r="AO128" s="4"/>
      <c r="AP128" s="4"/>
      <c r="AQ128" s="4"/>
    </row>
    <row r="129" hidden="1" spans="3:43">
      <c r="C129" s="192">
        <v>3</v>
      </c>
      <c r="H129" s="129"/>
      <c r="M129" s="129"/>
      <c r="R129" s="129"/>
      <c r="T129" s="93"/>
      <c r="U129" s="93"/>
      <c r="V129" s="193"/>
      <c r="W129" s="129"/>
      <c r="AB129" s="129"/>
      <c r="AD129" s="3"/>
      <c r="AE129" s="4"/>
      <c r="AF129" s="4"/>
      <c r="AG129" s="4"/>
      <c r="AI129" s="3"/>
      <c r="AJ129" s="262"/>
      <c r="AK129" s="262"/>
      <c r="AL129" s="262"/>
      <c r="AN129" s="3"/>
      <c r="AO129" s="4"/>
      <c r="AP129" s="4"/>
      <c r="AQ129" s="4"/>
    </row>
    <row r="130" hidden="1" spans="3:43">
      <c r="C130" s="198">
        <v>3</v>
      </c>
      <c r="D130" s="35"/>
      <c r="E130" s="33"/>
      <c r="F130" s="33"/>
      <c r="G130" s="33"/>
      <c r="H130" s="183"/>
      <c r="I130" s="35"/>
      <c r="J130" s="33"/>
      <c r="K130" s="33"/>
      <c r="L130" s="33"/>
      <c r="M130" s="183"/>
      <c r="N130" s="35"/>
      <c r="O130" s="33"/>
      <c r="P130" s="33"/>
      <c r="Q130" s="33"/>
      <c r="R130" s="183"/>
      <c r="S130" s="35"/>
      <c r="T130" s="33"/>
      <c r="U130" s="194"/>
      <c r="V130" s="195"/>
      <c r="W130" s="183"/>
      <c r="X130" s="35"/>
      <c r="Y130" s="33"/>
      <c r="Z130" s="33"/>
      <c r="AA130" s="33"/>
      <c r="AB130" s="183"/>
      <c r="AD130" s="3"/>
      <c r="AE130" s="4"/>
      <c r="AF130" s="4"/>
      <c r="AG130" s="4"/>
      <c r="AI130" s="3"/>
      <c r="AJ130" s="4"/>
      <c r="AK130" s="262"/>
      <c r="AL130" s="262"/>
      <c r="AN130" s="3"/>
      <c r="AO130" s="4"/>
      <c r="AP130" s="4"/>
      <c r="AQ130" s="4"/>
    </row>
    <row r="131" ht="8.1" customHeight="1" spans="3:43">
      <c r="D131" s="209"/>
      <c r="E131" s="1"/>
      <c r="H131" s="1"/>
      <c r="M131" s="1"/>
      <c r="R131" s="1"/>
      <c r="W131" s="1"/>
      <c r="X131" s="209"/>
      <c r="Y131" s="1"/>
      <c r="AB131" s="1"/>
    </row>
    <row r="132" spans="3:4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R132" s="1"/>
      <c r="W132" s="1"/>
      <c r="X132" s="209"/>
      <c r="Y132" s="1"/>
      <c r="AB132" s="1"/>
    </row>
    <row r="133" spans="3:4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R133" s="1"/>
      <c r="W133" s="1"/>
      <c r="X133" s="209"/>
      <c r="Y133" s="1"/>
      <c r="AB133" s="1"/>
    </row>
    <row r="134" spans="3:4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R134" s="1"/>
      <c r="W134" s="1"/>
      <c r="X134" s="209"/>
      <c r="Y134" s="1"/>
      <c r="AB134" s="1"/>
    </row>
    <row r="135" spans="3:4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R135" s="1"/>
      <c r="W135" s="1"/>
      <c r="X135" s="209"/>
      <c r="Y135" s="1"/>
      <c r="AB135" s="1"/>
    </row>
    <row r="136" spans="3:43">
      <c r="D136" s="209"/>
      <c r="E136" s="1"/>
      <c r="H136" s="1"/>
      <c r="M136" s="1"/>
      <c r="R136" s="1"/>
      <c r="W136" s="1"/>
      <c r="X136" s="209"/>
      <c r="Y136" s="1"/>
      <c r="AB136" s="1"/>
    </row>
    <row r="137" spans="3:43">
      <c r="H137" s="1"/>
      <c r="M137" s="1"/>
      <c r="R137" s="1"/>
      <c r="W137" s="1"/>
      <c r="AB137" s="1"/>
    </row>
    <row r="138" spans="3:43">
      <c r="H138" s="1"/>
      <c r="M138" s="1"/>
      <c r="R138" s="1"/>
      <c r="W138" s="1"/>
      <c r="AB138" s="1"/>
    </row>
    <row r="139" spans="3:43">
      <c r="H139" s="1"/>
      <c r="M139" s="1"/>
      <c r="R139" s="1"/>
      <c r="W139" s="1"/>
      <c r="AB139" s="1"/>
    </row>
    <row r="140" spans="3:43">
      <c r="H140" s="1"/>
      <c r="M140" s="1"/>
      <c r="R140" s="1"/>
      <c r="W140" s="1"/>
      <c r="AB140" s="1"/>
    </row>
    <row r="141" spans="3:43">
      <c r="H141" s="1"/>
      <c r="M141" s="1"/>
      <c r="R141" s="1"/>
      <c r="W141" s="1"/>
      <c r="AB141" s="1"/>
    </row>
    <row r="142" spans="3:43">
      <c r="H142" s="1"/>
      <c r="M142" s="1"/>
      <c r="R142" s="1"/>
      <c r="W142" s="1"/>
      <c r="AB142" s="1"/>
    </row>
    <row r="143" spans="3:43">
      <c r="H143" s="1"/>
      <c r="M143" s="1"/>
      <c r="R143" s="1"/>
      <c r="W143" s="1"/>
      <c r="AB143" s="1"/>
    </row>
    <row r="144" spans="3:43">
      <c r="H144" s="1"/>
      <c r="M144" s="1"/>
      <c r="R144" s="1"/>
      <c r="W144" s="1"/>
      <c r="AB144" s="1"/>
    </row>
    <row r="145" spans="8:28">
      <c r="H145" s="1"/>
      <c r="M145" s="1"/>
      <c r="R145" s="1"/>
      <c r="W145" s="1"/>
      <c r="AB145" s="1"/>
    </row>
    <row r="146" spans="8:28">
      <c r="H146" s="1"/>
      <c r="M146" s="1"/>
      <c r="R146" s="1"/>
      <c r="W146" s="1"/>
      <c r="AB146" s="1"/>
    </row>
    <row r="147" spans="8:28">
      <c r="H147" s="1"/>
      <c r="M147" s="1"/>
      <c r="R147" s="1"/>
      <c r="W147" s="1"/>
      <c r="AB147" s="1"/>
    </row>
    <row r="148" spans="8:28">
      <c r="H148" s="1"/>
      <c r="M148" s="1"/>
      <c r="R148" s="1"/>
      <c r="W148" s="1"/>
      <c r="AB148" s="1"/>
    </row>
    <row r="149" spans="8:28">
      <c r="H149" s="1"/>
      <c r="M149" s="1"/>
      <c r="R149" s="1"/>
      <c r="W149" s="1"/>
      <c r="AB149" s="1"/>
    </row>
    <row r="150" spans="8:28">
      <c r="H150" s="1"/>
      <c r="M150" s="1"/>
      <c r="R150" s="1"/>
      <c r="W150" s="1"/>
      <c r="AB150" s="1"/>
    </row>
    <row r="151" spans="8:28">
      <c r="H151" s="1"/>
      <c r="M151" s="1"/>
      <c r="R151" s="1"/>
      <c r="W151" s="1"/>
      <c r="AB151" s="1"/>
    </row>
    <row r="152" spans="8:28">
      <c r="H152" s="1"/>
      <c r="M152" s="1"/>
      <c r="R152" s="1"/>
      <c r="W152" s="1"/>
      <c r="AB152" s="1"/>
    </row>
    <row r="153" spans="8:28">
      <c r="H153" s="1"/>
      <c r="M153" s="1"/>
      <c r="R153" s="1"/>
      <c r="W153" s="1"/>
      <c r="AB153" s="1"/>
    </row>
    <row r="154" spans="8:28">
      <c r="H154" s="1"/>
      <c r="M154" s="1"/>
      <c r="R154" s="1"/>
      <c r="W154" s="1"/>
      <c r="AB154" s="1"/>
    </row>
    <row r="155" spans="8:28">
      <c r="H155" s="1"/>
      <c r="M155" s="1"/>
      <c r="R155" s="1"/>
      <c r="W155" s="1"/>
      <c r="AB155" s="1"/>
    </row>
    <row r="156" spans="8:28">
      <c r="H156" s="1"/>
      <c r="M156" s="1"/>
      <c r="R156" s="1"/>
      <c r="W156" s="1"/>
      <c r="AB156" s="1"/>
    </row>
    <row r="157" spans="8:28">
      <c r="H157" s="1"/>
      <c r="M157" s="1"/>
      <c r="R157" s="1"/>
      <c r="W157" s="1"/>
      <c r="AB157" s="1"/>
    </row>
    <row r="158" spans="8:28">
      <c r="H158" s="1"/>
      <c r="M158" s="1"/>
      <c r="R158" s="1"/>
      <c r="W158" s="1"/>
      <c r="AB158" s="1"/>
    </row>
    <row r="159" spans="8:28">
      <c r="H159" s="1"/>
      <c r="M159" s="1"/>
      <c r="R159" s="1"/>
      <c r="W159" s="1"/>
      <c r="AB159" s="1"/>
    </row>
    <row r="160" spans="8:28">
      <c r="H160" s="1"/>
      <c r="M160" s="1"/>
      <c r="R160" s="1"/>
      <c r="W160" s="1"/>
      <c r="AB160" s="1"/>
    </row>
    <row r="161" spans="8:28">
      <c r="H161" s="1"/>
      <c r="M161" s="1"/>
      <c r="R161" s="1"/>
      <c r="W161" s="1"/>
      <c r="AB161" s="1"/>
    </row>
    <row r="162" spans="8:28">
      <c r="H162" s="1"/>
      <c r="M162" s="1"/>
      <c r="R162" s="1"/>
      <c r="W162" s="1"/>
      <c r="AB162" s="1"/>
    </row>
    <row r="163" spans="8:28">
      <c r="H163" s="1"/>
      <c r="M163" s="1"/>
      <c r="R163" s="1"/>
      <c r="W163" s="1"/>
      <c r="AB163" s="1"/>
    </row>
    <row r="164" spans="8:28">
      <c r="H164" s="1"/>
      <c r="M164" s="1"/>
      <c r="R164" s="1"/>
      <c r="W164" s="1"/>
      <c r="AB164" s="1"/>
    </row>
    <row r="165" spans="8:28">
      <c r="H165" s="1"/>
      <c r="M165" s="1"/>
      <c r="R165" s="1"/>
      <c r="W165" s="1"/>
      <c r="AB165" s="1"/>
    </row>
    <row r="166" spans="8:28">
      <c r="H166" s="1"/>
      <c r="M166" s="1"/>
      <c r="R166" s="1"/>
      <c r="W166" s="1"/>
      <c r="AB166" s="1"/>
    </row>
    <row r="167" spans="8:28">
      <c r="H167" s="1"/>
      <c r="M167" s="1"/>
      <c r="R167" s="1"/>
      <c r="W167" s="1"/>
      <c r="AB167" s="1"/>
    </row>
    <row r="168" spans="8:28">
      <c r="H168" s="1"/>
      <c r="M168" s="1"/>
      <c r="R168" s="1"/>
      <c r="W168" s="1"/>
      <c r="AB168" s="1"/>
    </row>
    <row r="169" spans="8:28">
      <c r="H169" s="1"/>
      <c r="M169" s="1"/>
      <c r="R169" s="1"/>
      <c r="W169" s="1"/>
      <c r="AB169" s="1"/>
    </row>
    <row r="170" spans="8:28">
      <c r="H170" s="1"/>
      <c r="M170" s="1"/>
      <c r="R170" s="1"/>
      <c r="W170" s="1"/>
      <c r="AB170" s="1"/>
    </row>
    <row r="171" spans="8:28">
      <c r="H171" s="1"/>
      <c r="M171" s="1"/>
      <c r="R171" s="1"/>
      <c r="W171" s="1"/>
      <c r="AB171" s="1"/>
    </row>
    <row r="172" spans="8:28">
      <c r="H172" s="1"/>
      <c r="M172" s="1"/>
      <c r="R172" s="1"/>
      <c r="W172" s="1"/>
      <c r="AB172" s="1"/>
    </row>
    <row r="173" spans="8:28">
      <c r="H173" s="1"/>
      <c r="M173" s="1"/>
      <c r="R173" s="1"/>
      <c r="W173" s="1"/>
      <c r="AB173" s="1"/>
    </row>
    <row r="174" spans="8:28">
      <c r="H174" s="1"/>
      <c r="M174" s="1"/>
      <c r="R174" s="1"/>
      <c r="W174" s="1"/>
      <c r="AB174" s="1"/>
    </row>
    <row r="175" spans="8:28">
      <c r="H175" s="1"/>
      <c r="M175" s="1"/>
      <c r="R175" s="1"/>
      <c r="W175" s="1"/>
      <c r="AB175" s="1"/>
    </row>
    <row r="176" spans="8:28">
      <c r="H176" s="1"/>
      <c r="M176" s="1"/>
      <c r="R176" s="1"/>
      <c r="W176" s="1"/>
      <c r="AB176" s="1"/>
    </row>
    <row r="177" spans="8:28">
      <c r="H177" s="1"/>
      <c r="M177" s="1"/>
      <c r="R177" s="1"/>
      <c r="W177" s="1"/>
      <c r="AB177" s="1"/>
    </row>
    <row r="178" spans="8:28">
      <c r="H178" s="1"/>
      <c r="M178" s="1"/>
      <c r="R178" s="1"/>
      <c r="W178" s="1"/>
      <c r="AB178" s="1"/>
    </row>
    <row r="179" spans="8:28">
      <c r="H179" s="1"/>
      <c r="M179" s="1"/>
      <c r="R179" s="1"/>
      <c r="W179" s="1"/>
      <c r="AB179" s="1"/>
    </row>
    <row r="180" spans="8:28">
      <c r="H180" s="1"/>
      <c r="M180" s="1"/>
      <c r="R180" s="1"/>
      <c r="W180" s="1"/>
      <c r="AB180" s="1"/>
    </row>
    <row r="181" spans="8:28">
      <c r="H181" s="1"/>
      <c r="M181" s="1"/>
      <c r="R181" s="1"/>
      <c r="W181" s="1"/>
      <c r="AB181" s="1"/>
    </row>
    <row r="182" spans="8:28">
      <c r="H182" s="1"/>
      <c r="M182" s="1"/>
      <c r="R182" s="1"/>
      <c r="W182" s="1"/>
      <c r="AB182" s="1"/>
    </row>
    <row r="183" spans="8:28">
      <c r="H183" s="1"/>
      <c r="M183" s="1"/>
      <c r="R183" s="1"/>
      <c r="W183" s="1"/>
      <c r="AB183" s="1"/>
    </row>
    <row r="184" spans="8:28">
      <c r="H184" s="1"/>
      <c r="M184" s="1"/>
      <c r="R184" s="1"/>
      <c r="W184" s="1"/>
      <c r="AB184" s="1"/>
    </row>
    <row r="185" spans="8:28">
      <c r="H185" s="1"/>
      <c r="M185" s="1"/>
      <c r="R185" s="1"/>
      <c r="W185" s="1"/>
      <c r="AB185" s="1"/>
    </row>
    <row r="186" spans="8:28">
      <c r="H186" s="1"/>
      <c r="M186" s="1"/>
      <c r="R186" s="1"/>
      <c r="W186" s="1"/>
      <c r="AB186" s="1"/>
    </row>
    <row r="187" spans="8:28">
      <c r="H187" s="1"/>
      <c r="M187" s="1"/>
      <c r="R187" s="1"/>
      <c r="W187" s="1"/>
      <c r="AB187" s="1"/>
    </row>
    <row r="188" spans="8:28">
      <c r="H188" s="1"/>
      <c r="M188" s="1"/>
      <c r="R188" s="1"/>
      <c r="W188" s="1"/>
      <c r="AB188" s="1"/>
    </row>
    <row r="189" spans="8:28">
      <c r="H189" s="1"/>
      <c r="M189" s="1"/>
      <c r="R189" s="1"/>
      <c r="W189" s="1"/>
      <c r="AB189" s="1"/>
    </row>
    <row r="190" spans="8:28">
      <c r="H190" s="1"/>
      <c r="M190" s="1"/>
      <c r="R190" s="1"/>
      <c r="W190" s="1"/>
      <c r="AB190" s="1"/>
    </row>
    <row r="191" spans="8:28">
      <c r="H191" s="1"/>
      <c r="M191" s="1"/>
      <c r="R191" s="1"/>
      <c r="W191" s="1"/>
      <c r="AB191" s="1"/>
    </row>
    <row r="192" spans="8:28">
      <c r="H192" s="1"/>
      <c r="M192" s="1"/>
      <c r="R192" s="1"/>
      <c r="W192" s="1"/>
      <c r="AB192" s="1"/>
    </row>
    <row r="193" spans="8:28">
      <c r="H193" s="1"/>
      <c r="M193" s="1"/>
      <c r="R193" s="1"/>
      <c r="W193" s="1"/>
      <c r="AB193" s="1"/>
    </row>
    <row r="194" spans="8:28">
      <c r="H194" s="1"/>
      <c r="M194" s="1"/>
      <c r="R194" s="1"/>
      <c r="W194" s="1"/>
      <c r="AB194" s="1"/>
    </row>
    <row r="195" spans="8:28">
      <c r="H195" s="1"/>
      <c r="M195" s="1"/>
      <c r="R195" s="1"/>
      <c r="W195" s="1"/>
      <c r="AB195" s="1"/>
    </row>
    <row r="196" spans="8:28">
      <c r="H196" s="1"/>
      <c r="M196" s="1"/>
      <c r="R196" s="1"/>
      <c r="W196" s="1"/>
      <c r="AB196" s="1"/>
    </row>
    <row r="197" spans="8:28">
      <c r="H197" s="1"/>
      <c r="M197" s="1"/>
      <c r="R197" s="1"/>
      <c r="W197" s="1"/>
      <c r="AB197" s="1"/>
    </row>
    <row r="198" spans="8:28">
      <c r="H198" s="1"/>
      <c r="M198" s="1"/>
      <c r="R198" s="1"/>
      <c r="W198" s="1"/>
      <c r="AB198" s="1"/>
    </row>
    <row r="199" spans="8:28">
      <c r="H199" s="1"/>
      <c r="M199" s="1"/>
      <c r="R199" s="1"/>
      <c r="W199" s="1"/>
      <c r="AB199" s="1"/>
    </row>
    <row r="200" spans="8:28">
      <c r="H200" s="1"/>
      <c r="M200" s="1"/>
      <c r="R200" s="1"/>
      <c r="W200" s="1"/>
      <c r="AB200" s="1"/>
    </row>
    <row r="201" spans="8:28">
      <c r="H201" s="1"/>
      <c r="M201" s="1"/>
      <c r="R201" s="1"/>
      <c r="W201" s="1"/>
      <c r="AB201" s="1"/>
    </row>
    <row r="202" spans="8:28">
      <c r="H202" s="1"/>
      <c r="M202" s="1"/>
      <c r="R202" s="1"/>
      <c r="W202" s="1"/>
      <c r="AB202" s="1"/>
    </row>
    <row r="203" spans="8:28">
      <c r="H203" s="1"/>
      <c r="M203" s="1"/>
      <c r="R203" s="1"/>
      <c r="W203" s="1"/>
      <c r="AB203" s="1"/>
    </row>
    <row r="204" spans="8:28">
      <c r="H204" s="1"/>
      <c r="M204" s="1"/>
      <c r="R204" s="1"/>
      <c r="W204" s="1"/>
      <c r="AB204" s="1"/>
    </row>
    <row r="205" spans="8:28">
      <c r="H205" s="1"/>
      <c r="M205" s="1"/>
      <c r="R205" s="1"/>
      <c r="W205" s="1"/>
      <c r="AB205" s="1"/>
    </row>
    <row r="206" spans="8:28">
      <c r="H206" s="1"/>
      <c r="M206" s="1"/>
      <c r="R206" s="1"/>
      <c r="W206" s="1"/>
      <c r="AB206" s="1"/>
    </row>
    <row r="207" spans="8:28">
      <c r="H207" s="1"/>
      <c r="M207" s="1"/>
      <c r="R207" s="1"/>
      <c r="W207" s="1"/>
      <c r="AB207" s="1"/>
    </row>
    <row r="208" spans="8:28">
      <c r="H208" s="1"/>
      <c r="M208" s="1"/>
      <c r="R208" s="1"/>
      <c r="W208" s="1"/>
      <c r="AB208" s="1"/>
    </row>
    <row r="209" spans="8:28">
      <c r="H209" s="1"/>
      <c r="M209" s="1"/>
      <c r="R209" s="1"/>
      <c r="W209" s="1"/>
      <c r="AB209" s="1"/>
    </row>
    <row r="210" spans="8:28">
      <c r="H210" s="1"/>
      <c r="M210" s="1"/>
      <c r="R210" s="1"/>
      <c r="W210" s="1"/>
      <c r="AB210" s="1"/>
    </row>
    <row r="211" spans="8:28">
      <c r="H211" s="1"/>
      <c r="M211" s="1"/>
      <c r="R211" s="1"/>
      <c r="W211" s="1"/>
      <c r="AB211" s="1"/>
    </row>
    <row r="212" spans="8:28">
      <c r="H212" s="1"/>
      <c r="M212" s="1"/>
      <c r="R212" s="1"/>
      <c r="W212" s="1"/>
      <c r="AB212" s="1"/>
    </row>
    <row r="213" spans="8:28">
      <c r="H213" s="1"/>
      <c r="M213" s="1"/>
      <c r="R213" s="1"/>
      <c r="W213" s="1"/>
      <c r="AB213" s="1"/>
    </row>
    <row r="214" spans="8:28">
      <c r="H214" s="1"/>
      <c r="M214" s="1"/>
      <c r="R214" s="1"/>
      <c r="W214" s="1"/>
      <c r="AB214" s="1"/>
    </row>
    <row r="215" spans="8:28">
      <c r="H215" s="1"/>
      <c r="M215" s="1"/>
      <c r="R215" s="1"/>
      <c r="W215" s="1"/>
      <c r="AB215" s="1"/>
    </row>
    <row r="216" spans="8:28">
      <c r="H216" s="1"/>
      <c r="M216" s="1"/>
      <c r="R216" s="1"/>
      <c r="W216" s="1"/>
      <c r="AB216" s="1"/>
    </row>
    <row r="217" spans="8:28">
      <c r="H217" s="1"/>
      <c r="M217" s="1"/>
      <c r="R217" s="1"/>
      <c r="W217" s="1"/>
      <c r="AB217" s="1"/>
    </row>
    <row r="218" spans="8:28">
      <c r="H218" s="1"/>
      <c r="M218" s="1"/>
      <c r="R218" s="1"/>
      <c r="W218" s="1"/>
      <c r="AB218" s="1"/>
    </row>
    <row r="219" spans="8:28">
      <c r="H219" s="1"/>
      <c r="M219" s="1"/>
      <c r="R219" s="1"/>
      <c r="W219" s="1"/>
      <c r="AB219" s="1"/>
    </row>
    <row r="220" spans="8:28">
      <c r="H220" s="1"/>
      <c r="M220" s="1"/>
      <c r="R220" s="1"/>
      <c r="W220" s="1"/>
      <c r="AB220" s="1"/>
    </row>
    <row r="221" spans="8:28">
      <c r="H221" s="1"/>
      <c r="M221" s="1"/>
      <c r="R221" s="1"/>
      <c r="W221" s="1"/>
      <c r="AB221" s="1"/>
    </row>
    <row r="222" spans="8:28">
      <c r="H222" s="1"/>
      <c r="M222" s="1"/>
      <c r="R222" s="1"/>
      <c r="W222" s="1"/>
      <c r="AB222" s="1"/>
    </row>
    <row r="223" spans="8:28">
      <c r="H223" s="1"/>
      <c r="M223" s="1"/>
      <c r="R223" s="1"/>
      <c r="W223" s="1"/>
      <c r="AB223" s="1"/>
    </row>
    <row r="224" spans="8:28">
      <c r="H224" s="1"/>
      <c r="M224" s="1"/>
      <c r="R224" s="1"/>
      <c r="W224" s="1"/>
      <c r="AB224" s="1"/>
    </row>
    <row r="225" spans="8:28">
      <c r="H225" s="1"/>
      <c r="M225" s="1"/>
      <c r="R225" s="1"/>
      <c r="W225" s="1"/>
      <c r="AB225" s="1"/>
    </row>
    <row r="226" spans="8:28">
      <c r="H226" s="1"/>
      <c r="M226" s="1"/>
      <c r="R226" s="1"/>
      <c r="W226" s="1"/>
      <c r="AB226" s="1"/>
    </row>
    <row r="227" spans="8:28">
      <c r="H227" s="1"/>
      <c r="M227" s="1"/>
      <c r="R227" s="1"/>
      <c r="W227" s="1"/>
      <c r="AB227" s="1"/>
    </row>
    <row r="228" spans="8:28">
      <c r="H228" s="1"/>
      <c r="M228" s="1"/>
      <c r="R228" s="1"/>
      <c r="W228" s="1"/>
      <c r="AB228" s="1"/>
    </row>
    <row r="229" spans="8:28">
      <c r="H229" s="1"/>
      <c r="M229" s="1"/>
      <c r="R229" s="1"/>
      <c r="W229" s="1"/>
      <c r="AB229" s="1"/>
    </row>
    <row r="230" spans="8:28">
      <c r="H230" s="1"/>
      <c r="M230" s="1"/>
      <c r="R230" s="1"/>
      <c r="W230" s="1"/>
      <c r="AB230" s="1"/>
    </row>
    <row r="231" spans="8:28">
      <c r="H231" s="1"/>
      <c r="M231" s="1"/>
      <c r="R231" s="1"/>
      <c r="W231" s="1"/>
      <c r="AB231" s="1"/>
    </row>
    <row r="232" spans="8:28">
      <c r="H232" s="1"/>
      <c r="M232" s="1"/>
      <c r="R232" s="1"/>
      <c r="W232" s="1"/>
      <c r="AB232" s="1"/>
    </row>
    <row r="233" spans="8:28">
      <c r="H233" s="1"/>
      <c r="M233" s="1"/>
      <c r="R233" s="1"/>
      <c r="W233" s="1"/>
      <c r="AB233" s="1"/>
    </row>
    <row r="234" spans="8:28">
      <c r="H234" s="1"/>
      <c r="M234" s="1"/>
      <c r="R234" s="1"/>
      <c r="W234" s="1"/>
      <c r="AB234" s="1"/>
    </row>
    <row r="235" spans="8:28">
      <c r="H235" s="1"/>
      <c r="M235" s="1"/>
      <c r="R235" s="1"/>
      <c r="W235" s="1"/>
      <c r="AB235" s="1"/>
    </row>
    <row r="236" spans="8:28">
      <c r="H236" s="1"/>
      <c r="M236" s="1"/>
      <c r="R236" s="1"/>
      <c r="W236" s="1"/>
      <c r="AB236" s="1"/>
    </row>
    <row r="237" spans="8:28">
      <c r="H237" s="1"/>
      <c r="M237" s="1"/>
      <c r="R237" s="1"/>
      <c r="W237" s="1"/>
      <c r="AB237" s="1"/>
    </row>
    <row r="238" spans="8:28">
      <c r="H238" s="1"/>
      <c r="M238" s="1"/>
      <c r="R238" s="1"/>
      <c r="W238" s="1"/>
      <c r="AB238" s="1"/>
    </row>
    <row r="239" spans="8:28">
      <c r="H239" s="1"/>
      <c r="M239" s="1"/>
      <c r="R239" s="1"/>
      <c r="W239" s="1"/>
      <c r="AB239" s="1"/>
    </row>
    <row r="240" spans="8:28">
      <c r="H240" s="1"/>
      <c r="M240" s="1"/>
      <c r="R240" s="1"/>
      <c r="W240" s="1"/>
      <c r="AB240" s="1"/>
    </row>
    <row r="241" spans="8:28">
      <c r="H241" s="1"/>
      <c r="M241" s="1"/>
      <c r="R241" s="1"/>
      <c r="W241" s="1"/>
      <c r="AB241" s="1"/>
    </row>
    <row r="242" spans="8:28">
      <c r="H242" s="1"/>
      <c r="M242" s="1"/>
      <c r="R242" s="1"/>
      <c r="W242" s="1"/>
      <c r="AB242" s="1"/>
    </row>
  </sheetData>
  <mergeCells count="12">
    <mergeCell ref="F113:G113"/>
    <mergeCell ref="K113:L113"/>
    <mergeCell ref="P113:Q113"/>
    <mergeCell ref="Z113:AA113"/>
    <mergeCell ref="AF113:AG113"/>
    <mergeCell ref="AP113:AQ113"/>
    <mergeCell ref="F123:G123"/>
    <mergeCell ref="K123:L123"/>
    <mergeCell ref="P123:Q123"/>
    <mergeCell ref="Z123:AA123"/>
    <mergeCell ref="AF123:AG123"/>
    <mergeCell ref="AP123:AQ123"/>
  </mergeCells>
  <pageMargins left="0" right="0" top="0" bottom="0" header="0" footer="0"/>
  <pageSetup paperSize="1" scale="6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BO246"/>
  <sheetViews>
    <sheetView tabSelected="1" zoomScale="110" zoomScaleNormal="110" topLeftCell="A9" workbookViewId="0">
      <selection activeCell="D59" sqref="D59"/>
    </sheetView>
  </sheetViews>
  <sheetFormatPr defaultColWidth="8.71296296296296" defaultRowHeight="15.6"/>
  <cols>
    <col min="1" max="1" width="1.12962962962963" style="1" customWidth="1"/>
    <col min="2" max="2" width="15.25" style="1" customWidth="1"/>
    <col min="3" max="3" width="5.87962962962963" style="2" customWidth="1"/>
    <col min="4" max="4" width="26.3796296296296" style="3" customWidth="1"/>
    <col min="5" max="5" width="9.75" style="4" customWidth="1"/>
    <col min="6" max="7" width="8.12962962962963" style="4" customWidth="1"/>
    <col min="8" max="8" width="2.12962962962963" style="5" customWidth="1"/>
    <col min="9" max="9" width="26.3796296296296" style="3" customWidth="1"/>
    <col min="10" max="10" width="8.62962962962963" style="4" customWidth="1"/>
    <col min="11" max="11" width="5" style="4" customWidth="1"/>
    <col min="12" max="12" width="7.62962962962963" style="4" customWidth="1"/>
    <col min="13" max="13" width="2.12962962962963" style="5" customWidth="1"/>
    <col min="14" max="14" width="26.3796296296296" style="3" customWidth="1"/>
    <col min="15" max="15" width="10.75" style="4" customWidth="1"/>
    <col min="16" max="16" width="5" style="4" customWidth="1"/>
    <col min="17" max="17" width="7.62962962962963" style="4" customWidth="1"/>
    <col min="18" max="18" width="2.12962962962963" style="5" customWidth="1"/>
    <col min="19" max="19" width="26.3796296296296" style="3" customWidth="1"/>
    <col min="20" max="20" width="8.62962962962963" style="4" customWidth="1"/>
    <col min="21" max="21" width="5" style="4" customWidth="1"/>
    <col min="22" max="22" width="7.62962962962963" style="4" customWidth="1"/>
    <col min="23" max="23" width="2.12962962962963" style="5" customWidth="1"/>
    <col min="24" max="24" width="26.3796296296296" style="3" customWidth="1"/>
    <col min="25" max="25" width="8.62962962962963" style="4" customWidth="1"/>
    <col min="26" max="26" width="5" style="4" customWidth="1"/>
    <col min="27" max="27" width="7.62962962962963" style="4" customWidth="1"/>
    <col min="28" max="28" width="2.12962962962963" style="5" customWidth="1"/>
    <col min="29" max="29" width="26.3796296296296" style="3" customWidth="1"/>
    <col min="30" max="30" width="8.62962962962963" style="4" customWidth="1"/>
    <col min="31" max="31" width="5" style="4" customWidth="1"/>
    <col min="32" max="32" width="7.62962962962963" style="4" customWidth="1"/>
    <col min="33" max="33" width="6.12962962962963" style="5" customWidth="1"/>
    <col min="34" max="34" width="26.3796296296296" style="3" customWidth="1"/>
    <col min="35" max="35" width="9.37962962962963" style="4" customWidth="1"/>
    <col min="36" max="36" width="5" style="4" customWidth="1"/>
    <col min="37" max="37" width="7.62962962962963" style="4" customWidth="1"/>
    <col min="38" max="38" width="2.12962962962963" style="5" customWidth="1"/>
    <col min="39" max="39" width="26.3796296296296" style="3" customWidth="1"/>
    <col min="40" max="40" width="8.62962962962963" style="4" customWidth="1"/>
    <col min="41" max="41" width="5" style="4" customWidth="1"/>
    <col min="42" max="42" width="7.62962962962963" style="4" customWidth="1"/>
    <col min="43" max="43" width="2.12962962962963" style="5" customWidth="1"/>
    <col min="44" max="44" width="26.3796296296296" style="3" customWidth="1"/>
    <col min="45" max="45" width="8.62962962962963" style="4" customWidth="1"/>
    <col min="46" max="46" width="5" style="4" customWidth="1"/>
    <col min="47" max="47" width="7.62962962962963" style="4" customWidth="1"/>
    <col min="48" max="48" width="2.12962962962963" style="5" customWidth="1"/>
    <col min="49" max="49" width="26.3796296296296" style="3" customWidth="1"/>
    <col min="50" max="50" width="8.62962962962963" style="4" customWidth="1"/>
    <col min="51" max="51" width="5" style="4" customWidth="1"/>
    <col min="52" max="52" width="7.62962962962963" style="4" customWidth="1"/>
    <col min="53" max="53" width="2.12962962962963" style="5" customWidth="1"/>
    <col min="54" max="54" width="26.3796296296296" style="3" customWidth="1"/>
    <col min="55" max="55" width="8.62962962962963" style="4" customWidth="1"/>
    <col min="56" max="56" width="5" style="4" customWidth="1"/>
    <col min="57" max="57" width="7.62962962962963" style="4" customWidth="1"/>
    <col min="58" max="58" width="2.12962962962963" style="5" customWidth="1"/>
    <col min="59" max="59" width="26.3796296296296" style="3" customWidth="1"/>
    <col min="60" max="60" width="8.62962962962963" style="4" customWidth="1"/>
    <col min="61" max="61" width="5" style="4" customWidth="1"/>
    <col min="62" max="62" width="7.62962962962963" style="4" customWidth="1"/>
    <col min="63" max="63" width="2.12962962962963" style="5" customWidth="1"/>
    <col min="64" max="64" width="11" style="1" customWidth="1"/>
    <col min="65" max="65" width="8.37962962962963" style="1" customWidth="1"/>
    <col min="66" max="67" width="4.75" style="1" customWidth="1"/>
    <col min="68" max="68" width="2.12962962962963" style="1" customWidth="1"/>
    <col min="69" max="16384" width="12.3796296296296" style="1"/>
  </cols>
  <sheetData>
    <row r="1" ht="6" customHeight="1" spans="2:63">
      <c r="H1" s="1"/>
      <c r="M1" s="1"/>
      <c r="R1" s="1"/>
      <c r="W1" s="1"/>
      <c r="AB1" s="1"/>
      <c r="AG1" s="1"/>
      <c r="AL1" s="1"/>
      <c r="AQ1" s="1"/>
      <c r="AV1" s="1"/>
      <c r="BA1" s="1"/>
      <c r="BF1" s="1"/>
      <c r="BK1" s="1"/>
    </row>
    <row r="2" spans="2:63">
      <c r="D2" s="6" t="s">
        <v>19</v>
      </c>
      <c r="E2" s="7" t="s">
        <v>20</v>
      </c>
      <c r="F2" s="8" t="s">
        <v>129</v>
      </c>
      <c r="G2" s="9"/>
      <c r="H2" s="10"/>
      <c r="I2" s="11"/>
      <c r="J2" s="9"/>
      <c r="K2" s="9"/>
      <c r="L2" s="12"/>
      <c r="M2" s="1"/>
      <c r="N2" s="6" t="s">
        <v>22</v>
      </c>
      <c r="O2" s="13" t="s">
        <v>20</v>
      </c>
      <c r="P2" s="2"/>
      <c r="Q2" s="14"/>
      <c r="R2" s="4"/>
      <c r="S2" s="1"/>
      <c r="T2" s="3"/>
      <c r="W2" s="4"/>
      <c r="X2" s="1"/>
      <c r="Y2" s="15"/>
      <c r="Z2" s="2"/>
      <c r="AA2" s="16"/>
      <c r="AB2" s="4"/>
      <c r="AC2" s="1"/>
      <c r="AD2" s="3"/>
      <c r="AG2" s="4"/>
      <c r="AH2" s="6" t="s">
        <v>130</v>
      </c>
      <c r="AI2" s="7" t="s">
        <v>131</v>
      </c>
      <c r="AJ2" s="8" t="s">
        <v>129</v>
      </c>
      <c r="AK2" s="9"/>
      <c r="AL2" s="10"/>
      <c r="AM2" s="11"/>
      <c r="AN2" s="9"/>
      <c r="AO2" s="9"/>
      <c r="AP2" s="12"/>
      <c r="AQ2" s="1"/>
      <c r="AR2" s="6" t="s">
        <v>132</v>
      </c>
      <c r="AS2" s="13" t="s">
        <v>131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2:63">
      <c r="D3" s="17"/>
      <c r="E3" s="18" t="s">
        <v>24</v>
      </c>
      <c r="F3" s="19" t="s">
        <v>25</v>
      </c>
      <c r="H3" s="20"/>
      <c r="L3" s="21"/>
      <c r="M3" s="1"/>
      <c r="N3" s="17"/>
      <c r="O3" s="22" t="s">
        <v>24</v>
      </c>
      <c r="P3" s="18"/>
      <c r="Q3" s="19"/>
      <c r="R3" s="4"/>
      <c r="S3" s="20"/>
      <c r="T3" s="3"/>
      <c r="W3" s="4"/>
      <c r="X3" s="1"/>
      <c r="Y3" s="3"/>
      <c r="Z3" s="18"/>
      <c r="AA3" s="14"/>
      <c r="AB3" s="4"/>
      <c r="AC3" s="1"/>
      <c r="AD3" s="3"/>
      <c r="AG3" s="4"/>
      <c r="AH3" s="17"/>
      <c r="AI3" s="18" t="s">
        <v>24</v>
      </c>
      <c r="AJ3" s="19" t="s">
        <v>133</v>
      </c>
      <c r="AL3" s="20"/>
      <c r="AP3" s="21"/>
      <c r="AQ3" s="1"/>
      <c r="AR3" s="17"/>
      <c r="AS3" s="22" t="s">
        <v>24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2:63">
      <c r="C4" s="23"/>
      <c r="D4" s="24" t="s">
        <v>27</v>
      </c>
      <c r="E4" s="25">
        <v>342</v>
      </c>
      <c r="F4" s="26" t="s">
        <v>28</v>
      </c>
      <c r="H4" s="1"/>
      <c r="I4" s="20"/>
      <c r="L4" s="21"/>
      <c r="M4" s="1"/>
      <c r="N4" s="24" t="s">
        <v>29</v>
      </c>
      <c r="O4" s="27">
        <v>265</v>
      </c>
      <c r="P4" s="28"/>
      <c r="Q4" s="26"/>
      <c r="R4" s="4"/>
      <c r="S4" s="1"/>
      <c r="T4" s="20"/>
      <c r="W4" s="4"/>
      <c r="X4" s="1"/>
      <c r="Y4" s="29"/>
      <c r="Z4" s="28"/>
      <c r="AA4" s="19"/>
      <c r="AB4" s="4"/>
      <c r="AC4" s="1"/>
      <c r="AD4" s="3"/>
      <c r="AG4" s="4"/>
      <c r="AH4" s="24" t="s">
        <v>27</v>
      </c>
      <c r="AI4" s="25">
        <v>465</v>
      </c>
      <c r="AJ4" s="26" t="s">
        <v>134</v>
      </c>
      <c r="AL4" s="1"/>
      <c r="AM4" s="20"/>
      <c r="AP4" s="21"/>
      <c r="AQ4" s="1"/>
      <c r="AR4" s="24" t="s">
        <v>29</v>
      </c>
      <c r="AS4" s="27">
        <v>285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2:63">
      <c r="C5" s="23"/>
      <c r="D5" s="24" t="s">
        <v>135</v>
      </c>
      <c r="E5" s="25">
        <v>216</v>
      </c>
      <c r="F5" s="1" t="s">
        <v>32</v>
      </c>
      <c r="H5" s="1"/>
      <c r="L5" s="21"/>
      <c r="M5" s="1"/>
      <c r="N5" s="24" t="s">
        <v>136</v>
      </c>
      <c r="O5" s="27">
        <v>220</v>
      </c>
      <c r="P5" s="28"/>
      <c r="Q5" s="1"/>
      <c r="R5" s="4"/>
      <c r="S5" s="1"/>
      <c r="T5" s="3"/>
      <c r="W5" s="4"/>
      <c r="X5" s="1"/>
      <c r="Y5" s="3"/>
      <c r="Z5" s="28"/>
      <c r="AA5" s="30"/>
      <c r="AB5" s="4"/>
      <c r="AC5" s="1"/>
      <c r="AD5" s="3"/>
      <c r="AG5" s="4"/>
      <c r="AH5" s="24" t="s">
        <v>135</v>
      </c>
      <c r="AI5" s="25">
        <v>325</v>
      </c>
      <c r="AJ5" s="1" t="s">
        <v>137</v>
      </c>
      <c r="AL5" s="1"/>
      <c r="AP5" s="21"/>
      <c r="AQ5" s="1"/>
      <c r="AR5" s="24" t="s">
        <v>136</v>
      </c>
      <c r="AS5" s="27">
        <v>315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2:63">
      <c r="C6" s="23"/>
      <c r="D6" s="24" t="s">
        <v>36</v>
      </c>
      <c r="E6" s="25">
        <v>414</v>
      </c>
      <c r="F6" s="20" t="s">
        <v>37</v>
      </c>
      <c r="H6" s="1"/>
      <c r="L6" s="21"/>
      <c r="M6" s="1"/>
      <c r="N6" s="17"/>
      <c r="O6" s="27"/>
      <c r="P6" s="28"/>
      <c r="Q6" s="20"/>
      <c r="R6" s="4"/>
      <c r="S6" s="1"/>
      <c r="T6" s="3"/>
      <c r="W6" s="4"/>
      <c r="X6" s="1"/>
      <c r="Y6" s="3"/>
      <c r="Z6" s="28"/>
      <c r="AA6" s="30"/>
      <c r="AB6" s="4"/>
      <c r="AC6" s="1"/>
      <c r="AD6" s="3"/>
      <c r="AG6" s="4"/>
      <c r="AH6" s="24" t="s">
        <v>36</v>
      </c>
      <c r="AI6" s="25">
        <v>565</v>
      </c>
      <c r="AJ6" s="20" t="s">
        <v>138</v>
      </c>
      <c r="AL6" s="1"/>
      <c r="AP6" s="21"/>
      <c r="AQ6" s="1"/>
      <c r="AR6" s="17"/>
      <c r="AS6" s="2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2:63">
      <c r="C7" s="23"/>
      <c r="D7" s="31" t="s">
        <v>139</v>
      </c>
      <c r="E7" s="32">
        <v>260</v>
      </c>
      <c r="F7" s="33"/>
      <c r="G7" s="33"/>
      <c r="H7" s="34"/>
      <c r="I7" s="35" t="s">
        <v>41</v>
      </c>
      <c r="J7" s="33"/>
      <c r="K7" s="33"/>
      <c r="L7" s="36"/>
      <c r="M7" s="1"/>
      <c r="N7" s="37"/>
      <c r="O7" s="38"/>
      <c r="P7" s="28"/>
      <c r="R7" s="4"/>
      <c r="S7" s="1"/>
      <c r="T7" s="3"/>
      <c r="W7" s="4"/>
      <c r="X7" s="1"/>
      <c r="Y7" s="3"/>
      <c r="Z7" s="28"/>
      <c r="AA7" s="30"/>
      <c r="AB7" s="4"/>
      <c r="AC7" s="1"/>
      <c r="AD7" s="3"/>
      <c r="AG7" s="4"/>
      <c r="AH7" s="31" t="s">
        <v>139</v>
      </c>
      <c r="AI7" s="32">
        <v>195</v>
      </c>
      <c r="AJ7" s="33"/>
      <c r="AK7" s="33"/>
      <c r="AL7" s="34"/>
      <c r="AM7" s="35"/>
      <c r="AN7" s="33"/>
      <c r="AO7" s="33"/>
      <c r="AP7" s="36"/>
      <c r="AQ7" s="1"/>
      <c r="AR7" s="37"/>
      <c r="AS7" s="38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2:63">
      <c r="C8" s="23"/>
      <c r="D8" s="29"/>
      <c r="E8" s="28"/>
      <c r="H8" s="1"/>
      <c r="M8" s="1"/>
      <c r="O8" s="28"/>
      <c r="P8" s="30"/>
      <c r="R8" s="1"/>
      <c r="W8" s="1"/>
      <c r="X8" s="29"/>
      <c r="AB8" s="1"/>
      <c r="AG8" s="1"/>
      <c r="AH8" s="29"/>
      <c r="AI8" s="28"/>
      <c r="AL8" s="1"/>
      <c r="AQ8" s="1"/>
      <c r="AS8" s="28"/>
      <c r="AT8" s="30"/>
      <c r="AV8" s="1"/>
      <c r="BA8" s="1"/>
      <c r="BB8" s="29"/>
      <c r="BF8" s="1"/>
      <c r="BK8" s="1"/>
    </row>
    <row r="9" ht="20.1" customHeight="1" spans="2:63">
      <c r="C9" s="23"/>
      <c r="D9" s="15" t="s">
        <v>43</v>
      </c>
      <c r="H9" s="1"/>
      <c r="M9" s="1"/>
      <c r="R9" s="1"/>
      <c r="W9" s="1"/>
      <c r="X9" s="29"/>
      <c r="AB9" s="1"/>
      <c r="AG9" s="1"/>
      <c r="AL9" s="1"/>
      <c r="AQ9" s="1"/>
      <c r="AR9" s="29"/>
      <c r="AV9" s="1"/>
      <c r="AW9" s="39"/>
      <c r="AX9" s="40"/>
      <c r="AY9" s="1"/>
      <c r="AZ9" s="16"/>
      <c r="BA9" s="41"/>
      <c r="BB9" s="41"/>
      <c r="BC9" s="1"/>
      <c r="BD9" s="3"/>
      <c r="BE9" s="1"/>
      <c r="BF9" s="1"/>
      <c r="BG9" s="1"/>
      <c r="BH9" s="1"/>
      <c r="BI9" s="1"/>
      <c r="BJ9" s="1"/>
      <c r="BK9" s="1"/>
    </row>
    <row r="10" spans="2:63">
      <c r="D10" s="42" t="s">
        <v>140</v>
      </c>
      <c r="E10" s="1"/>
      <c r="H10" s="1"/>
      <c r="I10" s="42" t="s">
        <v>141</v>
      </c>
      <c r="M10" s="1"/>
      <c r="N10" s="42" t="s">
        <v>142</v>
      </c>
      <c r="P10" s="20"/>
      <c r="R10" s="1"/>
      <c r="S10" s="42" t="s">
        <v>143</v>
      </c>
      <c r="W10" s="1"/>
      <c r="X10" s="42" t="s">
        <v>144</v>
      </c>
      <c r="AB10" s="1"/>
      <c r="AC10" s="42" t="s">
        <v>145</v>
      </c>
      <c r="AG10" s="1"/>
      <c r="AH10" s="42" t="s">
        <v>146</v>
      </c>
      <c r="AL10" s="1"/>
      <c r="AM10" s="42" t="s">
        <v>147</v>
      </c>
      <c r="AQ10" s="1"/>
      <c r="AR10" s="42" t="s">
        <v>148</v>
      </c>
      <c r="AV10" s="1"/>
      <c r="AW10" s="42" t="s">
        <v>149</v>
      </c>
      <c r="BA10" s="1"/>
      <c r="BB10" s="42" t="s">
        <v>150</v>
      </c>
      <c r="BF10" s="1"/>
      <c r="BG10" s="42" t="s">
        <v>151</v>
      </c>
      <c r="BI10" s="1"/>
      <c r="BJ10" s="1"/>
      <c r="BK10" s="1"/>
    </row>
    <row r="11" spans="2:63">
      <c r="C11" s="2" t="s">
        <v>152</v>
      </c>
      <c r="D11" s="43">
        <v>42610</v>
      </c>
      <c r="E11" s="44" t="s">
        <v>51</v>
      </c>
      <c r="F11" s="45"/>
      <c r="G11" s="45"/>
      <c r="H11" s="46"/>
      <c r="I11" s="47">
        <f>D12+1</f>
        <v>42617</v>
      </c>
      <c r="J11" s="45"/>
      <c r="K11" s="45"/>
      <c r="L11" s="45"/>
      <c r="M11" s="46"/>
      <c r="N11" s="47">
        <f>I12+1</f>
        <v>42624</v>
      </c>
      <c r="O11" s="45"/>
      <c r="P11" s="48"/>
      <c r="Q11" s="45"/>
      <c r="R11" s="46"/>
      <c r="S11" s="47">
        <f>N12+1</f>
        <v>42631</v>
      </c>
      <c r="T11" s="45"/>
      <c r="U11" s="45"/>
      <c r="V11" s="45"/>
      <c r="W11" s="46"/>
      <c r="X11" s="47">
        <f>S12+1</f>
        <v>42638</v>
      </c>
      <c r="Y11" s="45"/>
      <c r="Z11" s="45"/>
      <c r="AA11" s="45"/>
      <c r="AB11" s="46"/>
      <c r="AC11" s="47">
        <f>X12+1</f>
        <v>42645</v>
      </c>
      <c r="AD11" s="45"/>
      <c r="AE11" s="45"/>
      <c r="AF11" s="45"/>
      <c r="AG11" s="46"/>
      <c r="AH11" s="47">
        <f>AC12+1</f>
        <v>42652</v>
      </c>
      <c r="AI11" s="45"/>
      <c r="AJ11" s="45"/>
      <c r="AK11" s="45"/>
      <c r="AL11" s="46"/>
      <c r="AM11" s="47">
        <f>AH12+1</f>
        <v>42659</v>
      </c>
      <c r="AN11" s="45"/>
      <c r="AO11" s="45"/>
      <c r="AP11" s="45"/>
      <c r="AQ11" s="46"/>
      <c r="AR11" s="47">
        <f>AM12+1</f>
        <v>42666</v>
      </c>
      <c r="AV11" s="1"/>
      <c r="AW11" s="47">
        <f>AR12+1</f>
        <v>42673</v>
      </c>
      <c r="BA11" s="1"/>
      <c r="BB11" s="47">
        <f>AW12+1</f>
        <v>42680</v>
      </c>
      <c r="BF11" s="1"/>
      <c r="BG11" s="47">
        <f>BB12+1</f>
        <v>42687</v>
      </c>
      <c r="BI11" s="1"/>
      <c r="BJ11" s="1"/>
      <c r="BK11" s="1"/>
    </row>
    <row r="12" spans="2:63">
      <c r="C12" s="2" t="s">
        <v>153</v>
      </c>
      <c r="D12" s="47">
        <f>D11+6</f>
        <v>42616</v>
      </c>
      <c r="E12" s="44" t="s">
        <v>53</v>
      </c>
      <c r="F12" s="45"/>
      <c r="G12" s="45"/>
      <c r="H12" s="46"/>
      <c r="I12" s="47">
        <f>I11+6</f>
        <v>42623</v>
      </c>
      <c r="J12" s="45"/>
      <c r="K12" s="45"/>
      <c r="L12" s="45"/>
      <c r="M12" s="46"/>
      <c r="N12" s="47">
        <f>N11+6</f>
        <v>42630</v>
      </c>
      <c r="O12" s="45"/>
      <c r="P12" s="48"/>
      <c r="Q12" s="45"/>
      <c r="R12" s="46"/>
      <c r="S12" s="47">
        <f>S11+6</f>
        <v>42637</v>
      </c>
      <c r="T12" s="45"/>
      <c r="U12" s="45"/>
      <c r="V12" s="45"/>
      <c r="W12" s="46"/>
      <c r="X12" s="47">
        <f>X11+6</f>
        <v>42644</v>
      </c>
      <c r="Y12" s="45"/>
      <c r="Z12" s="45"/>
      <c r="AA12" s="45"/>
      <c r="AB12" s="46"/>
      <c r="AC12" s="47">
        <f>AC11+6</f>
        <v>42651</v>
      </c>
      <c r="AD12" s="45"/>
      <c r="AE12" s="45"/>
      <c r="AF12" s="45"/>
      <c r="AG12" s="46"/>
      <c r="AH12" s="47">
        <f>AH11+6</f>
        <v>42658</v>
      </c>
      <c r="AI12" s="45"/>
      <c r="AJ12" s="45"/>
      <c r="AK12" s="45"/>
      <c r="AL12" s="46"/>
      <c r="AM12" s="47">
        <f>AM11+6</f>
        <v>42665</v>
      </c>
      <c r="AN12" s="45"/>
      <c r="AO12" s="45"/>
      <c r="AP12" s="45"/>
      <c r="AQ12" s="46"/>
      <c r="AR12" s="47">
        <f>AR11+6</f>
        <v>42672</v>
      </c>
      <c r="AV12" s="1"/>
      <c r="AW12" s="47">
        <f>AW11+6</f>
        <v>42679</v>
      </c>
      <c r="BA12" s="1"/>
      <c r="BB12" s="47">
        <f>BB11+6</f>
        <v>42686</v>
      </c>
      <c r="BF12" s="1"/>
      <c r="BG12" s="47">
        <f>BG11+6</f>
        <v>42693</v>
      </c>
      <c r="BI12" s="1"/>
      <c r="BJ12" s="1"/>
      <c r="BK12" s="1"/>
    </row>
    <row r="13" ht="18" customHeight="1" spans="2:63">
      <c r="B13" s="23"/>
      <c r="C13" s="49"/>
      <c r="D13" s="50" t="s">
        <v>154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  <c r="R13" s="1"/>
      <c r="S13" s="53" t="s">
        <v>155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5"/>
      <c r="AG13" s="1"/>
      <c r="AH13" s="56" t="s">
        <v>156</v>
      </c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8"/>
      <c r="AV13" s="1"/>
      <c r="AW13" s="59" t="s">
        <v>157</v>
      </c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1"/>
      <c r="BI13" s="62"/>
      <c r="BJ13" s="62"/>
      <c r="BK13" s="1"/>
    </row>
    <row r="14" hidden="1" spans="2:63">
      <c r="B14" s="63" t="s">
        <v>158</v>
      </c>
      <c r="C14" s="64"/>
      <c r="D14" s="65" t="s">
        <v>159</v>
      </c>
      <c r="E14" s="66" t="s">
        <v>56</v>
      </c>
      <c r="F14" s="9"/>
      <c r="G14" s="9"/>
      <c r="H14" s="10"/>
      <c r="I14" s="67" t="s">
        <v>159</v>
      </c>
      <c r="J14" s="66" t="s">
        <v>56</v>
      </c>
      <c r="K14" s="9"/>
      <c r="L14" s="9"/>
      <c r="M14" s="10"/>
      <c r="N14" s="67" t="s">
        <v>159</v>
      </c>
      <c r="O14" s="66" t="s">
        <v>56</v>
      </c>
      <c r="P14" s="9"/>
      <c r="Q14" s="9"/>
      <c r="R14" s="10"/>
      <c r="S14" s="67" t="s">
        <v>159</v>
      </c>
      <c r="T14" s="66" t="s">
        <v>56</v>
      </c>
      <c r="U14" s="9"/>
      <c r="V14" s="9"/>
      <c r="W14" s="10"/>
      <c r="X14" s="67" t="s">
        <v>159</v>
      </c>
      <c r="Y14" s="66" t="s">
        <v>56</v>
      </c>
      <c r="Z14" s="9"/>
      <c r="AA14" s="9"/>
      <c r="AB14" s="10"/>
      <c r="AC14" s="67" t="s">
        <v>159</v>
      </c>
      <c r="AD14" s="68" t="s">
        <v>56</v>
      </c>
      <c r="AE14" s="69"/>
      <c r="AF14" s="12"/>
      <c r="AG14" s="10"/>
      <c r="AH14" s="67" t="s">
        <v>159</v>
      </c>
      <c r="AI14" s="66" t="s">
        <v>56</v>
      </c>
      <c r="AJ14" s="9"/>
      <c r="AK14" s="9"/>
      <c r="AL14" s="10"/>
      <c r="AM14" s="67" t="s">
        <v>159</v>
      </c>
      <c r="AN14" s="66" t="s">
        <v>56</v>
      </c>
      <c r="AO14" s="9"/>
      <c r="AP14" s="9"/>
      <c r="AQ14" s="10"/>
      <c r="AR14" s="67" t="s">
        <v>159</v>
      </c>
      <c r="AS14" s="66" t="s">
        <v>56</v>
      </c>
      <c r="AT14" s="9"/>
      <c r="AU14" s="9"/>
      <c r="AV14" s="10"/>
      <c r="AW14" s="67" t="s">
        <v>159</v>
      </c>
      <c r="AX14" s="66" t="s">
        <v>56</v>
      </c>
      <c r="AY14" s="9"/>
      <c r="AZ14" s="9"/>
      <c r="BA14" s="10"/>
      <c r="BB14" s="67" t="s">
        <v>159</v>
      </c>
      <c r="BC14" s="66" t="s">
        <v>56</v>
      </c>
      <c r="BD14" s="9"/>
      <c r="BE14" s="9"/>
      <c r="BF14" s="10"/>
      <c r="BG14" s="67" t="s">
        <v>159</v>
      </c>
      <c r="BH14" s="68" t="s">
        <v>56</v>
      </c>
      <c r="BI14" s="70"/>
      <c r="BK14" s="1"/>
    </row>
    <row r="15" hidden="1" spans="2:63">
      <c r="B15" s="71" t="s">
        <v>160</v>
      </c>
      <c r="C15" s="72">
        <v>1</v>
      </c>
      <c r="D15" s="73" t="s">
        <v>27</v>
      </c>
      <c r="E15" s="74">
        <v>0.7</v>
      </c>
      <c r="F15" s="2"/>
      <c r="H15" s="1"/>
      <c r="I15" s="75" t="s">
        <v>27</v>
      </c>
      <c r="J15" s="74">
        <v>0.75</v>
      </c>
      <c r="K15" s="76"/>
      <c r="M15" s="1"/>
      <c r="N15" s="75" t="s">
        <v>27</v>
      </c>
      <c r="O15" s="74">
        <v>0.8</v>
      </c>
      <c r="P15" s="76"/>
      <c r="R15" s="1"/>
      <c r="S15" s="75" t="s">
        <v>27</v>
      </c>
      <c r="T15" s="74">
        <v>0.825</v>
      </c>
      <c r="U15" s="76"/>
      <c r="W15" s="1"/>
      <c r="X15" s="75" t="s">
        <v>27</v>
      </c>
      <c r="Y15" s="74">
        <v>0.85</v>
      </c>
      <c r="Z15" s="76"/>
      <c r="AB15" s="1"/>
      <c r="AC15" s="75" t="s">
        <v>27</v>
      </c>
      <c r="AD15" s="74"/>
      <c r="AE15" s="76"/>
      <c r="AF15" s="21"/>
      <c r="AG15" s="1"/>
      <c r="AH15" s="75" t="s">
        <v>27</v>
      </c>
      <c r="AI15" s="74"/>
      <c r="AJ15" s="2"/>
      <c r="AL15" s="1"/>
      <c r="AM15" s="75" t="s">
        <v>27</v>
      </c>
      <c r="AN15" s="74"/>
      <c r="AO15" s="76"/>
      <c r="AQ15" s="1"/>
      <c r="AR15" s="75" t="s">
        <v>27</v>
      </c>
      <c r="AS15" s="74"/>
      <c r="AT15" s="76"/>
      <c r="AV15" s="1"/>
      <c r="AW15" s="75" t="s">
        <v>27</v>
      </c>
      <c r="AX15" s="74"/>
      <c r="AY15" s="76"/>
      <c r="BA15" s="1"/>
      <c r="BB15" s="75" t="s">
        <v>27</v>
      </c>
      <c r="BC15" s="74"/>
      <c r="BD15" s="76"/>
      <c r="BF15" s="1"/>
      <c r="BG15" s="75" t="s">
        <v>27</v>
      </c>
      <c r="BH15" s="74"/>
      <c r="BI15" s="76"/>
      <c r="BK15" s="1"/>
    </row>
    <row r="16" hidden="1" spans="2:63">
      <c r="B16" s="71" t="s">
        <v>160</v>
      </c>
      <c r="C16" s="72">
        <v>1</v>
      </c>
      <c r="D16" s="73"/>
      <c r="E16" s="74"/>
      <c r="F16" s="2"/>
      <c r="H16" s="1"/>
      <c r="I16" s="75"/>
      <c r="J16" s="74"/>
      <c r="K16" s="76"/>
      <c r="M16" s="1"/>
      <c r="N16" s="75"/>
      <c r="O16" s="74"/>
      <c r="P16" s="76"/>
      <c r="R16" s="1"/>
      <c r="S16" s="75"/>
      <c r="T16" s="74"/>
      <c r="U16" s="76"/>
      <c r="W16" s="1"/>
      <c r="X16" s="75"/>
      <c r="Y16" s="74"/>
      <c r="Z16" s="76"/>
      <c r="AB16" s="1"/>
      <c r="AC16" s="75"/>
      <c r="AD16" s="74"/>
      <c r="AE16" s="76"/>
      <c r="AF16" s="21"/>
      <c r="AG16" s="1"/>
      <c r="AH16" s="75"/>
      <c r="AI16" s="74"/>
      <c r="AJ16" s="2"/>
      <c r="AL16" s="1"/>
      <c r="AM16" s="75"/>
      <c r="AN16" s="74"/>
      <c r="AO16" s="76"/>
      <c r="AQ16" s="1"/>
      <c r="AR16" s="75"/>
      <c r="AS16" s="74"/>
      <c r="AT16" s="76"/>
      <c r="AV16" s="1"/>
      <c r="AW16" s="75"/>
      <c r="AX16" s="74"/>
      <c r="AY16" s="76"/>
      <c r="BA16" s="1"/>
      <c r="BB16" s="75"/>
      <c r="BC16" s="74"/>
      <c r="BD16" s="76"/>
      <c r="BF16" s="1"/>
      <c r="BG16" s="75"/>
      <c r="BH16" s="74"/>
      <c r="BI16" s="76"/>
      <c r="BK16" s="1"/>
    </row>
    <row r="17" hidden="1" spans="2:67">
      <c r="B17" s="77" t="s">
        <v>160</v>
      </c>
      <c r="C17" s="78">
        <v>1</v>
      </c>
      <c r="D17" s="79"/>
      <c r="E17" s="80"/>
      <c r="F17" s="81"/>
      <c r="G17" s="33"/>
      <c r="H17" s="34"/>
      <c r="I17" s="82"/>
      <c r="J17" s="80"/>
      <c r="K17" s="83"/>
      <c r="L17" s="33"/>
      <c r="M17" s="34"/>
      <c r="N17" s="82"/>
      <c r="O17" s="80"/>
      <c r="P17" s="83"/>
      <c r="Q17" s="33"/>
      <c r="R17" s="34"/>
      <c r="S17" s="82"/>
      <c r="T17" s="80"/>
      <c r="U17" s="81"/>
      <c r="V17" s="33"/>
      <c r="W17" s="34"/>
      <c r="X17" s="82"/>
      <c r="Y17" s="80"/>
      <c r="Z17" s="83"/>
      <c r="AA17" s="33"/>
      <c r="AB17" s="34"/>
      <c r="AC17" s="82"/>
      <c r="AD17" s="80"/>
      <c r="AE17" s="83"/>
      <c r="AF17" s="36"/>
      <c r="AG17" s="34"/>
      <c r="AH17" s="84"/>
      <c r="AI17" s="80"/>
      <c r="AJ17" s="81"/>
      <c r="AK17" s="33"/>
      <c r="AL17" s="34"/>
      <c r="AM17" s="84"/>
      <c r="AN17" s="80"/>
      <c r="AO17" s="83"/>
      <c r="AP17" s="33"/>
      <c r="AQ17" s="34"/>
      <c r="AR17" s="84"/>
      <c r="AS17" s="80"/>
      <c r="AT17" s="83"/>
      <c r="AU17" s="33"/>
      <c r="AV17" s="34"/>
      <c r="AW17" s="84"/>
      <c r="AX17" s="80"/>
      <c r="AY17" s="81"/>
      <c r="AZ17" s="33"/>
      <c r="BA17" s="34"/>
      <c r="BB17" s="84"/>
      <c r="BC17" s="80"/>
      <c r="BD17" s="83"/>
      <c r="BE17" s="33"/>
      <c r="BF17" s="34"/>
      <c r="BG17" s="84"/>
      <c r="BH17" s="80"/>
      <c r="BI17" s="76"/>
      <c r="BK17" s="1"/>
    </row>
    <row r="18" hidden="1" spans="2:67">
      <c r="B18" s="71" t="s">
        <v>161</v>
      </c>
      <c r="C18" s="72">
        <v>1</v>
      </c>
      <c r="D18" s="73" t="s">
        <v>135</v>
      </c>
      <c r="E18" s="74">
        <v>0.65</v>
      </c>
      <c r="F18" s="2"/>
      <c r="H18" s="1"/>
      <c r="I18" s="75" t="s">
        <v>135</v>
      </c>
      <c r="J18" s="74">
        <v>0.7</v>
      </c>
      <c r="K18" s="76"/>
      <c r="M18" s="1"/>
      <c r="N18" s="75" t="s">
        <v>135</v>
      </c>
      <c r="O18" s="74">
        <v>0.75</v>
      </c>
      <c r="P18" s="76"/>
      <c r="R18" s="1"/>
      <c r="S18" s="75" t="s">
        <v>135</v>
      </c>
      <c r="T18" s="74">
        <v>0.775</v>
      </c>
      <c r="U18" s="76"/>
      <c r="W18" s="1"/>
      <c r="X18" s="75" t="s">
        <v>135</v>
      </c>
      <c r="Y18" s="74">
        <v>0.8</v>
      </c>
      <c r="Z18" s="76"/>
      <c r="AB18" s="1"/>
      <c r="AC18" s="75" t="s">
        <v>135</v>
      </c>
      <c r="AD18" s="74"/>
      <c r="AE18" s="76"/>
      <c r="AF18" s="21"/>
      <c r="AG18" s="1"/>
      <c r="AH18" s="75" t="s">
        <v>135</v>
      </c>
      <c r="AI18" s="74"/>
      <c r="AJ18" s="2"/>
      <c r="AL18" s="1"/>
      <c r="AM18" s="75" t="s">
        <v>135</v>
      </c>
      <c r="AN18" s="74"/>
      <c r="AO18" s="76"/>
      <c r="AQ18" s="1"/>
      <c r="AR18" s="75" t="s">
        <v>135</v>
      </c>
      <c r="AS18" s="74"/>
      <c r="AT18" s="76"/>
      <c r="AV18" s="1"/>
      <c r="AW18" s="75" t="s">
        <v>135</v>
      </c>
      <c r="AX18" s="74"/>
      <c r="AY18" s="76"/>
      <c r="BA18" s="1"/>
      <c r="BB18" s="75" t="s">
        <v>135</v>
      </c>
      <c r="BC18" s="74"/>
      <c r="BD18" s="76"/>
      <c r="BF18" s="1"/>
      <c r="BG18" s="75" t="s">
        <v>135</v>
      </c>
      <c r="BH18" s="74"/>
      <c r="BI18" s="70"/>
      <c r="BK18" s="1"/>
    </row>
    <row r="19" hidden="1" spans="2:67">
      <c r="B19" s="71" t="s">
        <v>161</v>
      </c>
      <c r="C19" s="72">
        <v>1</v>
      </c>
      <c r="D19" s="73"/>
      <c r="E19" s="74"/>
      <c r="F19" s="2"/>
      <c r="H19" s="1"/>
      <c r="I19" s="75"/>
      <c r="J19" s="74"/>
      <c r="K19" s="76"/>
      <c r="M19" s="1"/>
      <c r="N19" s="75"/>
      <c r="O19" s="74"/>
      <c r="P19" s="70"/>
      <c r="R19" s="1"/>
      <c r="S19" s="75"/>
      <c r="T19" s="74"/>
      <c r="U19" s="76"/>
      <c r="W19" s="1"/>
      <c r="X19" s="75"/>
      <c r="Y19" s="74"/>
      <c r="Z19" s="76"/>
      <c r="AB19" s="1"/>
      <c r="AC19" s="75"/>
      <c r="AD19" s="74"/>
      <c r="AE19" s="70"/>
      <c r="AF19" s="21"/>
      <c r="AG19" s="1"/>
      <c r="AH19" s="75"/>
      <c r="AI19" s="74"/>
      <c r="AL19" s="1"/>
      <c r="AM19" s="75"/>
      <c r="AN19" s="74"/>
      <c r="AO19" s="76"/>
      <c r="AQ19" s="1"/>
      <c r="AR19" s="75"/>
      <c r="AS19" s="74"/>
      <c r="AT19" s="76"/>
      <c r="AV19" s="1"/>
      <c r="AW19" s="75"/>
      <c r="AX19" s="74"/>
      <c r="AY19" s="76"/>
      <c r="BA19" s="1"/>
      <c r="BB19" s="75"/>
      <c r="BC19" s="74"/>
      <c r="BD19" s="76"/>
      <c r="BF19" s="1"/>
      <c r="BG19" s="75"/>
      <c r="BH19" s="74"/>
      <c r="BI19" s="70"/>
      <c r="BK19" s="1"/>
      <c r="BL19" s="3"/>
      <c r="BM19" s="4"/>
      <c r="BN19" s="4"/>
      <c r="BO19" s="4"/>
    </row>
    <row r="20" hidden="1" spans="2:67">
      <c r="B20" s="77" t="s">
        <v>161</v>
      </c>
      <c r="C20" s="78">
        <v>1</v>
      </c>
      <c r="D20" s="79"/>
      <c r="E20" s="80"/>
      <c r="F20" s="33"/>
      <c r="G20" s="33"/>
      <c r="H20" s="34"/>
      <c r="I20" s="82"/>
      <c r="J20" s="80"/>
      <c r="K20" s="85"/>
      <c r="L20" s="33"/>
      <c r="M20" s="34"/>
      <c r="N20" s="82"/>
      <c r="O20" s="80"/>
      <c r="P20" s="85"/>
      <c r="Q20" s="33"/>
      <c r="R20" s="34"/>
      <c r="S20" s="82"/>
      <c r="T20" s="80"/>
      <c r="U20" s="81"/>
      <c r="V20" s="33"/>
      <c r="W20" s="34"/>
      <c r="X20" s="82"/>
      <c r="Y20" s="80"/>
      <c r="Z20" s="85"/>
      <c r="AA20" s="33"/>
      <c r="AB20" s="34"/>
      <c r="AC20" s="82"/>
      <c r="AD20" s="80"/>
      <c r="AE20" s="70"/>
      <c r="AF20" s="21"/>
      <c r="AG20" s="1"/>
      <c r="AH20" s="82"/>
      <c r="AI20" s="80"/>
      <c r="AJ20" s="33"/>
      <c r="AK20" s="33"/>
      <c r="AL20" s="34"/>
      <c r="AM20" s="82"/>
      <c r="AN20" s="80"/>
      <c r="AO20" s="85"/>
      <c r="AP20" s="33"/>
      <c r="AQ20" s="34"/>
      <c r="AR20" s="82"/>
      <c r="AS20" s="80"/>
      <c r="AT20" s="83"/>
      <c r="AU20" s="33"/>
      <c r="AV20" s="34"/>
      <c r="AW20" s="82"/>
      <c r="AX20" s="80"/>
      <c r="AY20" s="81"/>
      <c r="AZ20" s="33"/>
      <c r="BA20" s="34"/>
      <c r="BB20" s="82"/>
      <c r="BC20" s="80"/>
      <c r="BD20" s="85"/>
      <c r="BE20" s="33"/>
      <c r="BF20" s="34"/>
      <c r="BG20" s="82"/>
      <c r="BH20" s="80"/>
      <c r="BI20" s="70"/>
      <c r="BK20" s="1"/>
      <c r="BL20" s="3"/>
      <c r="BM20" s="4"/>
      <c r="BN20" s="4"/>
      <c r="BO20" s="4"/>
    </row>
    <row r="21" hidden="1" spans="2:67">
      <c r="B21" s="71" t="s">
        <v>162</v>
      </c>
      <c r="C21" s="72">
        <v>1</v>
      </c>
      <c r="D21" s="73" t="s">
        <v>136</v>
      </c>
      <c r="E21" s="74">
        <v>0.7</v>
      </c>
      <c r="F21" s="2"/>
      <c r="H21" s="1"/>
      <c r="I21" s="75" t="s">
        <v>136</v>
      </c>
      <c r="J21" s="74">
        <v>0.75</v>
      </c>
      <c r="K21" s="76"/>
      <c r="M21" s="1"/>
      <c r="N21" s="75" t="s">
        <v>136</v>
      </c>
      <c r="O21" s="74">
        <v>0.8</v>
      </c>
      <c r="P21" s="76"/>
      <c r="R21" s="1"/>
      <c r="S21" s="75" t="s">
        <v>136</v>
      </c>
      <c r="T21" s="74">
        <v>0.825</v>
      </c>
      <c r="U21" s="2"/>
      <c r="W21" s="1"/>
      <c r="X21" s="75" t="s">
        <v>136</v>
      </c>
      <c r="Y21" s="74">
        <v>0.85</v>
      </c>
      <c r="Z21" s="76"/>
      <c r="AB21" s="1"/>
      <c r="AC21" s="75" t="s">
        <v>136</v>
      </c>
      <c r="AD21" s="74"/>
      <c r="AE21" s="69"/>
      <c r="AF21" s="12"/>
      <c r="AG21" s="10"/>
      <c r="AH21" s="75" t="s">
        <v>36</v>
      </c>
      <c r="AI21" s="74"/>
      <c r="AJ21" s="2"/>
      <c r="AL21" s="1"/>
      <c r="AM21" s="75" t="s">
        <v>36</v>
      </c>
      <c r="AN21" s="74"/>
      <c r="AO21" s="76"/>
      <c r="AQ21" s="1"/>
      <c r="AR21" s="75" t="s">
        <v>36</v>
      </c>
      <c r="AS21" s="74"/>
      <c r="AT21" s="76"/>
      <c r="AV21" s="1"/>
      <c r="AW21" s="75" t="s">
        <v>36</v>
      </c>
      <c r="AX21" s="74"/>
      <c r="AY21" s="76"/>
      <c r="BA21" s="1"/>
      <c r="BB21" s="75" t="s">
        <v>36</v>
      </c>
      <c r="BC21" s="74"/>
      <c r="BD21" s="76"/>
      <c r="BF21" s="1"/>
      <c r="BG21" s="75" t="s">
        <v>36</v>
      </c>
      <c r="BH21" s="74"/>
      <c r="BI21" s="70"/>
      <c r="BK21" s="1"/>
    </row>
    <row r="22" hidden="1" spans="2:67">
      <c r="B22" s="71" t="s">
        <v>162</v>
      </c>
      <c r="C22" s="72">
        <v>1</v>
      </c>
      <c r="D22" s="73"/>
      <c r="E22" s="74"/>
      <c r="F22" s="2"/>
      <c r="H22" s="1"/>
      <c r="I22" s="75"/>
      <c r="J22" s="74"/>
      <c r="K22" s="76"/>
      <c r="M22" s="1"/>
      <c r="N22" s="75"/>
      <c r="O22" s="74"/>
      <c r="P22" s="76"/>
      <c r="R22" s="1"/>
      <c r="S22" s="75"/>
      <c r="T22" s="74"/>
      <c r="U22" s="2"/>
      <c r="W22" s="1"/>
      <c r="X22" s="75"/>
      <c r="Y22" s="74"/>
      <c r="Z22" s="76"/>
      <c r="AB22" s="1"/>
      <c r="AC22" s="75"/>
      <c r="AD22" s="74"/>
      <c r="AE22" s="70"/>
      <c r="AF22" s="21"/>
      <c r="AG22" s="1"/>
      <c r="AH22" s="75"/>
      <c r="AI22" s="74"/>
      <c r="AJ22" s="2"/>
      <c r="AL22" s="1"/>
      <c r="AM22" s="75"/>
      <c r="AN22" s="74"/>
      <c r="AO22" s="76"/>
      <c r="AQ22" s="1"/>
      <c r="AR22" s="75"/>
      <c r="AS22" s="74"/>
      <c r="AT22" s="76"/>
      <c r="AV22" s="1"/>
      <c r="AW22" s="75"/>
      <c r="AX22" s="74"/>
      <c r="AY22" s="76"/>
      <c r="BA22" s="1"/>
      <c r="BB22" s="75"/>
      <c r="BC22" s="74"/>
      <c r="BD22" s="76"/>
      <c r="BF22" s="1"/>
      <c r="BG22" s="75"/>
      <c r="BH22" s="74"/>
      <c r="BI22" s="70"/>
      <c r="BK22" s="1"/>
    </row>
    <row r="23" hidden="1" spans="2:67">
      <c r="B23" s="77" t="s">
        <v>162</v>
      </c>
      <c r="C23" s="78">
        <v>1</v>
      </c>
      <c r="D23" s="79"/>
      <c r="E23" s="80"/>
      <c r="F23" s="81"/>
      <c r="G23" s="33"/>
      <c r="H23" s="34"/>
      <c r="I23" s="82"/>
      <c r="J23" s="80"/>
      <c r="K23" s="83"/>
      <c r="L23" s="33"/>
      <c r="M23" s="34"/>
      <c r="N23" s="82"/>
      <c r="O23" s="80"/>
      <c r="P23" s="83"/>
      <c r="Q23" s="33"/>
      <c r="R23" s="34"/>
      <c r="S23" s="82"/>
      <c r="T23" s="80"/>
      <c r="U23" s="81"/>
      <c r="V23" s="33"/>
      <c r="W23" s="34"/>
      <c r="X23" s="82"/>
      <c r="Y23" s="80"/>
      <c r="Z23" s="83"/>
      <c r="AA23" s="33"/>
      <c r="AB23" s="34"/>
      <c r="AC23" s="82"/>
      <c r="AD23" s="80"/>
      <c r="AE23" s="70"/>
      <c r="AF23" s="21"/>
      <c r="AG23" s="1"/>
      <c r="AH23" s="82"/>
      <c r="AI23" s="80"/>
      <c r="AJ23" s="81"/>
      <c r="AK23" s="33"/>
      <c r="AL23" s="34"/>
      <c r="AM23" s="82"/>
      <c r="AN23" s="80"/>
      <c r="AO23" s="83"/>
      <c r="AP23" s="33"/>
      <c r="AQ23" s="34"/>
      <c r="AR23" s="82"/>
      <c r="AS23" s="80"/>
      <c r="AT23" s="83"/>
      <c r="AU23" s="33"/>
      <c r="AV23" s="34"/>
      <c r="AW23" s="82"/>
      <c r="AX23" s="80"/>
      <c r="AY23" s="81"/>
      <c r="AZ23" s="33"/>
      <c r="BA23" s="34"/>
      <c r="BB23" s="82"/>
      <c r="BC23" s="80"/>
      <c r="BD23" s="83"/>
      <c r="BE23" s="33"/>
      <c r="BF23" s="34"/>
      <c r="BG23" s="82"/>
      <c r="BH23" s="80"/>
      <c r="BI23" s="70"/>
      <c r="BK23" s="1"/>
    </row>
    <row r="24" hidden="1" spans="2:67">
      <c r="B24" s="71" t="s">
        <v>163</v>
      </c>
      <c r="C24" s="72">
        <v>1</v>
      </c>
      <c r="D24" s="73" t="s">
        <v>139</v>
      </c>
      <c r="E24" s="74">
        <v>0.6</v>
      </c>
      <c r="F24" s="2"/>
      <c r="H24" s="1"/>
      <c r="I24" s="75" t="s">
        <v>139</v>
      </c>
      <c r="J24" s="74">
        <v>0.65</v>
      </c>
      <c r="K24" s="76"/>
      <c r="M24" s="1"/>
      <c r="N24" s="75" t="s">
        <v>139</v>
      </c>
      <c r="O24" s="74">
        <v>0.7</v>
      </c>
      <c r="P24" s="70"/>
      <c r="R24" s="1"/>
      <c r="S24" s="75" t="s">
        <v>139</v>
      </c>
      <c r="T24" s="74">
        <v>0.775</v>
      </c>
      <c r="U24" s="2"/>
      <c r="W24" s="1"/>
      <c r="X24" s="75" t="s">
        <v>139</v>
      </c>
      <c r="Y24" s="74">
        <v>0.8</v>
      </c>
      <c r="Z24" s="76"/>
      <c r="AB24" s="1"/>
      <c r="AC24" s="75" t="s">
        <v>139</v>
      </c>
      <c r="AD24" s="74"/>
      <c r="AE24" s="69"/>
      <c r="AF24" s="12"/>
      <c r="AG24" s="10"/>
      <c r="AH24" s="75" t="s">
        <v>139</v>
      </c>
      <c r="AI24" s="74"/>
      <c r="AL24" s="1"/>
      <c r="AM24" s="75" t="s">
        <v>139</v>
      </c>
      <c r="AN24" s="74"/>
      <c r="AO24" s="76"/>
      <c r="AQ24" s="1"/>
      <c r="AR24" s="75" t="s">
        <v>139</v>
      </c>
      <c r="AS24" s="74"/>
      <c r="AT24" s="70"/>
      <c r="AV24" s="1"/>
      <c r="AW24" s="75" t="s">
        <v>139</v>
      </c>
      <c r="AX24" s="74"/>
      <c r="AY24" s="70"/>
      <c r="BA24" s="1"/>
      <c r="BB24" s="75" t="s">
        <v>139</v>
      </c>
      <c r="BC24" s="74"/>
      <c r="BD24" s="76"/>
      <c r="BF24" s="1"/>
      <c r="BG24" s="75" t="s">
        <v>139</v>
      </c>
      <c r="BH24" s="74"/>
      <c r="BI24" s="70"/>
      <c r="BK24" s="1"/>
    </row>
    <row r="25" hidden="1" spans="2:67">
      <c r="B25" s="71" t="s">
        <v>163</v>
      </c>
      <c r="C25" s="72">
        <v>1</v>
      </c>
      <c r="D25" s="73" t="s">
        <v>62</v>
      </c>
      <c r="E25" s="74"/>
      <c r="F25" s="2"/>
      <c r="H25" s="1"/>
      <c r="I25" s="75" t="s">
        <v>62</v>
      </c>
      <c r="J25" s="74"/>
      <c r="K25" s="76"/>
      <c r="M25" s="1"/>
      <c r="N25" s="75" t="s">
        <v>62</v>
      </c>
      <c r="O25" s="74"/>
      <c r="P25" s="70"/>
      <c r="R25" s="1"/>
      <c r="S25" s="75" t="s">
        <v>62</v>
      </c>
      <c r="T25" s="74"/>
      <c r="U25" s="76"/>
      <c r="W25" s="1"/>
      <c r="X25" s="75" t="s">
        <v>62</v>
      </c>
      <c r="Y25" s="74"/>
      <c r="Z25" s="76"/>
      <c r="AB25" s="1"/>
      <c r="AC25" s="75" t="s">
        <v>62</v>
      </c>
      <c r="AD25" s="74"/>
      <c r="AE25" s="70"/>
      <c r="AF25" s="21"/>
      <c r="AG25" s="1"/>
      <c r="AH25" s="75" t="s">
        <v>62</v>
      </c>
      <c r="AI25" s="74"/>
      <c r="AL25" s="1"/>
      <c r="AM25" s="75" t="s">
        <v>62</v>
      </c>
      <c r="AN25" s="74"/>
      <c r="AO25" s="70"/>
      <c r="AQ25" s="1"/>
      <c r="AR25" s="75" t="s">
        <v>62</v>
      </c>
      <c r="AS25" s="74"/>
      <c r="AT25" s="70"/>
      <c r="AV25" s="1"/>
      <c r="AW25" s="75" t="s">
        <v>62</v>
      </c>
      <c r="AX25" s="74"/>
      <c r="AY25" s="70"/>
      <c r="BA25" s="1"/>
      <c r="BB25" s="75" t="s">
        <v>62</v>
      </c>
      <c r="BC25" s="74"/>
      <c r="BD25" s="70"/>
      <c r="BF25" s="1"/>
      <c r="BG25" s="75" t="s">
        <v>62</v>
      </c>
      <c r="BH25" s="74"/>
      <c r="BI25" s="70"/>
      <c r="BK25" s="1"/>
    </row>
    <row r="26" hidden="1" spans="2:67">
      <c r="B26" s="77" t="s">
        <v>163</v>
      </c>
      <c r="C26" s="78">
        <v>1</v>
      </c>
      <c r="D26" s="79"/>
      <c r="E26" s="80"/>
      <c r="F26" s="81"/>
      <c r="G26" s="33"/>
      <c r="H26" s="34"/>
      <c r="I26" s="82"/>
      <c r="J26" s="80"/>
      <c r="K26" s="83"/>
      <c r="L26" s="33"/>
      <c r="M26" s="34"/>
      <c r="N26" s="82"/>
      <c r="O26" s="80"/>
      <c r="P26" s="85"/>
      <c r="Q26" s="33"/>
      <c r="R26" s="34"/>
      <c r="S26" s="82"/>
      <c r="T26" s="80"/>
      <c r="U26" s="85"/>
      <c r="V26" s="33"/>
      <c r="W26" s="34"/>
      <c r="X26" s="82"/>
      <c r="Y26" s="80"/>
      <c r="Z26" s="85"/>
      <c r="AA26" s="33"/>
      <c r="AB26" s="34"/>
      <c r="AC26" s="82"/>
      <c r="AD26" s="80"/>
      <c r="AE26" s="85"/>
      <c r="AF26" s="36"/>
      <c r="AG26" s="34"/>
      <c r="AH26" s="82"/>
      <c r="AI26" s="80"/>
      <c r="AJ26" s="33"/>
      <c r="AK26" s="33"/>
      <c r="AL26" s="34"/>
      <c r="AM26" s="82"/>
      <c r="AN26" s="80"/>
      <c r="AO26" s="85"/>
      <c r="AP26" s="33"/>
      <c r="AQ26" s="34"/>
      <c r="AR26" s="82"/>
      <c r="AS26" s="80"/>
      <c r="AT26" s="85"/>
      <c r="AU26" s="33"/>
      <c r="AV26" s="34"/>
      <c r="AW26" s="82"/>
      <c r="AX26" s="80"/>
      <c r="AY26" s="85"/>
      <c r="AZ26" s="33"/>
      <c r="BA26" s="34"/>
      <c r="BB26" s="82"/>
      <c r="BC26" s="80"/>
      <c r="BD26" s="85"/>
      <c r="BE26" s="33"/>
      <c r="BF26" s="34"/>
      <c r="BG26" s="82"/>
      <c r="BH26" s="80"/>
      <c r="BI26" s="70"/>
      <c r="BK26" s="1"/>
    </row>
    <row r="27" hidden="1" spans="2:67">
      <c r="B27" s="71" t="s">
        <v>164</v>
      </c>
      <c r="C27" s="72">
        <v>1</v>
      </c>
      <c r="D27" s="73"/>
      <c r="E27" s="74"/>
      <c r="H27" s="1"/>
      <c r="I27" s="75"/>
      <c r="J27" s="74"/>
      <c r="K27" s="70"/>
      <c r="M27" s="1"/>
      <c r="N27" s="75"/>
      <c r="O27" s="74"/>
      <c r="P27" s="70"/>
      <c r="R27" s="1"/>
      <c r="S27" s="75"/>
      <c r="T27" s="74"/>
      <c r="U27" s="70"/>
      <c r="W27" s="1"/>
      <c r="X27" s="75"/>
      <c r="Y27" s="74"/>
      <c r="Z27" s="70"/>
      <c r="AB27" s="1"/>
      <c r="AC27" s="75"/>
      <c r="AD27" s="74"/>
      <c r="AE27" s="69"/>
      <c r="AF27" s="12"/>
      <c r="AG27" s="10"/>
      <c r="AH27" s="75"/>
      <c r="AI27" s="74"/>
      <c r="AL27" s="1"/>
      <c r="AM27" s="75"/>
      <c r="AN27" s="74"/>
      <c r="AO27" s="70"/>
      <c r="AQ27" s="1"/>
      <c r="AR27" s="75"/>
      <c r="AS27" s="74"/>
      <c r="AT27" s="70"/>
      <c r="AV27" s="1"/>
      <c r="AW27" s="75"/>
      <c r="AX27" s="74"/>
      <c r="AY27" s="70"/>
      <c r="BA27" s="1"/>
      <c r="BB27" s="75"/>
      <c r="BC27" s="74"/>
      <c r="BD27" s="70"/>
      <c r="BF27" s="1"/>
      <c r="BG27" s="75"/>
      <c r="BH27" s="74"/>
      <c r="BI27" s="70"/>
      <c r="BK27" s="1"/>
    </row>
    <row r="28" hidden="1" spans="2:67">
      <c r="B28" s="71" t="s">
        <v>164</v>
      </c>
      <c r="C28" s="72">
        <v>1</v>
      </c>
      <c r="D28" s="73"/>
      <c r="E28" s="74"/>
      <c r="H28" s="1"/>
      <c r="I28" s="75"/>
      <c r="J28" s="74"/>
      <c r="K28" s="70"/>
      <c r="M28" s="1"/>
      <c r="N28" s="75"/>
      <c r="O28" s="74"/>
      <c r="P28" s="70"/>
      <c r="R28" s="1"/>
      <c r="S28" s="75"/>
      <c r="T28" s="74"/>
      <c r="U28" s="70"/>
      <c r="W28" s="1"/>
      <c r="X28" s="75"/>
      <c r="Y28" s="74"/>
      <c r="Z28" s="70"/>
      <c r="AB28" s="1"/>
      <c r="AC28" s="75"/>
      <c r="AD28" s="74"/>
      <c r="AE28" s="70"/>
      <c r="AF28" s="21"/>
      <c r="AG28" s="1"/>
      <c r="AH28" s="75"/>
      <c r="AI28" s="74"/>
      <c r="AL28" s="1"/>
      <c r="AM28" s="75"/>
      <c r="AN28" s="74"/>
      <c r="AO28" s="70"/>
      <c r="AQ28" s="1"/>
      <c r="AR28" s="75"/>
      <c r="AS28" s="74"/>
      <c r="AT28" s="70"/>
      <c r="AV28" s="1"/>
      <c r="AW28" s="75"/>
      <c r="AX28" s="74"/>
      <c r="AY28" s="70"/>
      <c r="BA28" s="1"/>
      <c r="BB28" s="75"/>
      <c r="BC28" s="74"/>
      <c r="BD28" s="70"/>
      <c r="BF28" s="1"/>
      <c r="BG28" s="75"/>
      <c r="BH28" s="74"/>
      <c r="BI28" s="70"/>
      <c r="BK28" s="1"/>
    </row>
    <row r="29" hidden="1" spans="2:67">
      <c r="B29" s="77" t="s">
        <v>164</v>
      </c>
      <c r="C29" s="78">
        <v>1</v>
      </c>
      <c r="D29" s="79"/>
      <c r="E29" s="80"/>
      <c r="F29" s="33"/>
      <c r="G29" s="33"/>
      <c r="H29" s="34"/>
      <c r="I29" s="82"/>
      <c r="J29" s="80"/>
      <c r="K29" s="85"/>
      <c r="L29" s="33"/>
      <c r="M29" s="34"/>
      <c r="N29" s="82"/>
      <c r="O29" s="80"/>
      <c r="P29" s="85"/>
      <c r="Q29" s="33"/>
      <c r="R29" s="34"/>
      <c r="S29" s="82"/>
      <c r="T29" s="80"/>
      <c r="U29" s="85"/>
      <c r="V29" s="33"/>
      <c r="W29" s="34"/>
      <c r="X29" s="82"/>
      <c r="Y29" s="80"/>
      <c r="Z29" s="85"/>
      <c r="AA29" s="33"/>
      <c r="AB29" s="34"/>
      <c r="AC29" s="82"/>
      <c r="AD29" s="80"/>
      <c r="AE29" s="85"/>
      <c r="AF29" s="36"/>
      <c r="AG29" s="34"/>
      <c r="AH29" s="82"/>
      <c r="AI29" s="80"/>
      <c r="AJ29" s="33"/>
      <c r="AK29" s="33"/>
      <c r="AL29" s="34"/>
      <c r="AM29" s="82"/>
      <c r="AN29" s="80"/>
      <c r="AO29" s="85"/>
      <c r="AP29" s="33"/>
      <c r="AQ29" s="34"/>
      <c r="AR29" s="82"/>
      <c r="AS29" s="80"/>
      <c r="AT29" s="85"/>
      <c r="AU29" s="33"/>
      <c r="AV29" s="34"/>
      <c r="AW29" s="82"/>
      <c r="AX29" s="80"/>
      <c r="AY29" s="85"/>
      <c r="AZ29" s="33"/>
      <c r="BA29" s="34"/>
      <c r="BB29" s="82"/>
      <c r="BC29" s="80"/>
      <c r="BD29" s="85"/>
      <c r="BE29" s="33"/>
      <c r="BF29" s="34"/>
      <c r="BG29" s="82"/>
      <c r="BH29" s="80"/>
      <c r="BI29" s="70"/>
      <c r="BK29" s="1"/>
      <c r="BL29" s="3"/>
      <c r="BM29" s="4"/>
      <c r="BN29" s="4"/>
      <c r="BO29" s="4"/>
    </row>
    <row r="30" hidden="1" spans="2:67">
      <c r="B30" s="71" t="s">
        <v>165</v>
      </c>
      <c r="C30" s="72">
        <v>1</v>
      </c>
      <c r="D30" s="73"/>
      <c r="E30" s="74"/>
      <c r="H30" s="1"/>
      <c r="I30" s="75"/>
      <c r="J30" s="74"/>
      <c r="K30" s="70"/>
      <c r="M30" s="1"/>
      <c r="N30" s="75"/>
      <c r="O30" s="74"/>
      <c r="P30" s="70"/>
      <c r="R30" s="1"/>
      <c r="S30" s="75"/>
      <c r="T30" s="74"/>
      <c r="U30" s="70"/>
      <c r="W30" s="1"/>
      <c r="X30" s="75"/>
      <c r="Y30" s="74"/>
      <c r="Z30" s="70"/>
      <c r="AB30" s="1"/>
      <c r="AC30" s="75"/>
      <c r="AD30" s="74"/>
      <c r="AE30" s="70"/>
      <c r="AF30" s="21"/>
      <c r="AG30" s="1"/>
      <c r="AH30" s="75"/>
      <c r="AI30" s="74"/>
      <c r="AL30" s="1"/>
      <c r="AM30" s="75"/>
      <c r="AN30" s="74"/>
      <c r="AO30" s="70"/>
      <c r="AQ30" s="1"/>
      <c r="AR30" s="75"/>
      <c r="AS30" s="74"/>
      <c r="AT30" s="70"/>
      <c r="AV30" s="1"/>
      <c r="AW30" s="75"/>
      <c r="AX30" s="74"/>
      <c r="AY30" s="70"/>
      <c r="BA30" s="1"/>
      <c r="BB30" s="75"/>
      <c r="BC30" s="74"/>
      <c r="BD30" s="70"/>
      <c r="BF30" s="1"/>
      <c r="BG30" s="75"/>
      <c r="BH30" s="74"/>
      <c r="BI30" s="70"/>
      <c r="BK30" s="1"/>
      <c r="BL30" s="3"/>
      <c r="BM30" s="4"/>
      <c r="BN30" s="4"/>
      <c r="BO30" s="4"/>
    </row>
    <row r="31" hidden="1" spans="2:67">
      <c r="B31" s="71" t="s">
        <v>165</v>
      </c>
      <c r="C31" s="72">
        <v>1</v>
      </c>
      <c r="D31" s="73"/>
      <c r="E31" s="74"/>
      <c r="H31" s="1"/>
      <c r="I31" s="75"/>
      <c r="J31" s="74"/>
      <c r="K31" s="70"/>
      <c r="M31" s="1"/>
      <c r="N31" s="75"/>
      <c r="O31" s="74"/>
      <c r="P31" s="70"/>
      <c r="R31" s="1"/>
      <c r="S31" s="75"/>
      <c r="T31" s="74"/>
      <c r="U31" s="70"/>
      <c r="W31" s="1"/>
      <c r="X31" s="75"/>
      <c r="Y31" s="74"/>
      <c r="Z31" s="70"/>
      <c r="AB31" s="1"/>
      <c r="AC31" s="75"/>
      <c r="AD31" s="74"/>
      <c r="AE31" s="70"/>
      <c r="AF31" s="21"/>
      <c r="AG31" s="1"/>
      <c r="AH31" s="75"/>
      <c r="AI31" s="74"/>
      <c r="AL31" s="1"/>
      <c r="AM31" s="75"/>
      <c r="AN31" s="74"/>
      <c r="AO31" s="70"/>
      <c r="AQ31" s="1"/>
      <c r="AR31" s="75"/>
      <c r="AS31" s="74"/>
      <c r="AT31" s="70"/>
      <c r="AV31" s="1"/>
      <c r="AW31" s="75"/>
      <c r="AX31" s="74"/>
      <c r="AY31" s="70"/>
      <c r="BA31" s="1"/>
      <c r="BB31" s="75"/>
      <c r="BC31" s="74"/>
      <c r="BD31" s="70"/>
      <c r="BF31" s="1"/>
      <c r="BG31" s="75"/>
      <c r="BH31" s="74"/>
      <c r="BI31" s="70"/>
      <c r="BK31" s="1"/>
    </row>
    <row r="32" hidden="1" spans="2:67">
      <c r="B32" s="77" t="s">
        <v>165</v>
      </c>
      <c r="C32" s="78">
        <v>1</v>
      </c>
      <c r="D32" s="79"/>
      <c r="E32" s="80"/>
      <c r="F32" s="33"/>
      <c r="G32" s="33"/>
      <c r="H32" s="34"/>
      <c r="I32" s="82"/>
      <c r="J32" s="80"/>
      <c r="K32" s="85"/>
      <c r="L32" s="33"/>
      <c r="M32" s="34"/>
      <c r="N32" s="82"/>
      <c r="O32" s="80"/>
      <c r="P32" s="85"/>
      <c r="Q32" s="33"/>
      <c r="R32" s="34"/>
      <c r="S32" s="82"/>
      <c r="T32" s="80"/>
      <c r="U32" s="85"/>
      <c r="V32" s="33"/>
      <c r="W32" s="34"/>
      <c r="X32" s="82"/>
      <c r="Y32" s="80"/>
      <c r="Z32" s="85"/>
      <c r="AA32" s="33"/>
      <c r="AB32" s="34"/>
      <c r="AC32" s="82"/>
      <c r="AD32" s="80"/>
      <c r="AE32" s="70"/>
      <c r="AF32" s="21"/>
      <c r="AG32" s="1"/>
      <c r="AH32" s="82"/>
      <c r="AI32" s="80"/>
      <c r="AJ32" s="33"/>
      <c r="AK32" s="33"/>
      <c r="AL32" s="34"/>
      <c r="AM32" s="82"/>
      <c r="AN32" s="80"/>
      <c r="AO32" s="85"/>
      <c r="AP32" s="33"/>
      <c r="AQ32" s="34"/>
      <c r="AR32" s="82"/>
      <c r="AS32" s="80"/>
      <c r="AT32" s="85"/>
      <c r="AU32" s="33"/>
      <c r="AV32" s="34"/>
      <c r="AW32" s="82"/>
      <c r="AX32" s="80"/>
      <c r="AY32" s="85"/>
      <c r="AZ32" s="33"/>
      <c r="BA32" s="34"/>
      <c r="BB32" s="82"/>
      <c r="BC32" s="80"/>
      <c r="BD32" s="85"/>
      <c r="BE32" s="33"/>
      <c r="BF32" s="34"/>
      <c r="BG32" s="82"/>
      <c r="BH32" s="80"/>
      <c r="BI32" s="70"/>
      <c r="BK32" s="1"/>
    </row>
    <row r="33" hidden="1" spans="2:67">
      <c r="B33" s="71" t="s">
        <v>166</v>
      </c>
      <c r="C33" s="72">
        <v>1</v>
      </c>
      <c r="D33" s="73"/>
      <c r="E33" s="74"/>
      <c r="H33" s="1"/>
      <c r="I33" s="75"/>
      <c r="J33" s="74"/>
      <c r="K33" s="70"/>
      <c r="M33" s="1"/>
      <c r="N33" s="75"/>
      <c r="O33" s="74"/>
      <c r="P33" s="70"/>
      <c r="R33" s="1"/>
      <c r="S33" s="75"/>
      <c r="T33" s="74"/>
      <c r="U33" s="70"/>
      <c r="W33" s="1"/>
      <c r="X33" s="75"/>
      <c r="Y33" s="74"/>
      <c r="Z33" s="70"/>
      <c r="AB33" s="1"/>
      <c r="AC33" s="75"/>
      <c r="AD33" s="74"/>
      <c r="AE33" s="69"/>
      <c r="AF33" s="12"/>
      <c r="AG33" s="10"/>
      <c r="AH33" s="75"/>
      <c r="AI33" s="74"/>
      <c r="AL33" s="1"/>
      <c r="AM33" s="75"/>
      <c r="AN33" s="74"/>
      <c r="AO33" s="70"/>
      <c r="AQ33" s="1"/>
      <c r="AR33" s="75"/>
      <c r="AS33" s="74"/>
      <c r="AT33" s="70"/>
      <c r="AV33" s="1"/>
      <c r="AW33" s="75"/>
      <c r="AX33" s="74"/>
      <c r="AY33" s="70"/>
      <c r="BA33" s="1"/>
      <c r="BB33" s="75"/>
      <c r="BC33" s="74"/>
      <c r="BD33" s="70"/>
      <c r="BF33" s="1"/>
      <c r="BG33" s="75"/>
      <c r="BH33" s="74"/>
      <c r="BI33" s="70"/>
      <c r="BK33" s="1"/>
    </row>
    <row r="34" hidden="1" spans="2:67">
      <c r="B34" s="71" t="s">
        <v>166</v>
      </c>
      <c r="C34" s="72">
        <v>1</v>
      </c>
      <c r="D34" s="73"/>
      <c r="E34" s="74"/>
      <c r="H34" s="1"/>
      <c r="I34" s="75"/>
      <c r="J34" s="74"/>
      <c r="K34" s="70"/>
      <c r="M34" s="1"/>
      <c r="N34" s="75"/>
      <c r="O34" s="74"/>
      <c r="P34" s="70"/>
      <c r="R34" s="1"/>
      <c r="S34" s="75"/>
      <c r="T34" s="74"/>
      <c r="U34" s="70"/>
      <c r="W34" s="1"/>
      <c r="X34" s="75"/>
      <c r="Y34" s="74"/>
      <c r="Z34" s="70"/>
      <c r="AB34" s="1"/>
      <c r="AC34" s="75"/>
      <c r="AD34" s="74"/>
      <c r="AE34" s="70"/>
      <c r="AF34" s="21"/>
      <c r="AG34" s="1"/>
      <c r="AH34" s="75"/>
      <c r="AI34" s="74"/>
      <c r="AL34" s="1"/>
      <c r="AM34" s="75"/>
      <c r="AN34" s="74"/>
      <c r="AO34" s="70"/>
      <c r="AQ34" s="1"/>
      <c r="AR34" s="75"/>
      <c r="AS34" s="74"/>
      <c r="AT34" s="70"/>
      <c r="AV34" s="1"/>
      <c r="AW34" s="75"/>
      <c r="AX34" s="74"/>
      <c r="AY34" s="70"/>
      <c r="BA34" s="1"/>
      <c r="BB34" s="75"/>
      <c r="BC34" s="74"/>
      <c r="BD34" s="70"/>
      <c r="BF34" s="1"/>
      <c r="BG34" s="75"/>
      <c r="BH34" s="74"/>
      <c r="BI34" s="70"/>
      <c r="BK34" s="1"/>
    </row>
    <row r="35" hidden="1" spans="2:67">
      <c r="B35" s="77" t="s">
        <v>166</v>
      </c>
      <c r="C35" s="78">
        <v>1</v>
      </c>
      <c r="D35" s="79"/>
      <c r="E35" s="80"/>
      <c r="F35" s="33"/>
      <c r="G35" s="33"/>
      <c r="H35" s="34"/>
      <c r="I35" s="82"/>
      <c r="J35" s="80"/>
      <c r="K35" s="85"/>
      <c r="L35" s="33"/>
      <c r="M35" s="34"/>
      <c r="N35" s="82"/>
      <c r="O35" s="80"/>
      <c r="P35" s="85"/>
      <c r="Q35" s="33"/>
      <c r="R35" s="34"/>
      <c r="S35" s="82"/>
      <c r="T35" s="80"/>
      <c r="U35" s="85"/>
      <c r="V35" s="33"/>
      <c r="W35" s="34"/>
      <c r="X35" s="82"/>
      <c r="Y35" s="80"/>
      <c r="Z35" s="85"/>
      <c r="AA35" s="33"/>
      <c r="AB35" s="34"/>
      <c r="AC35" s="82"/>
      <c r="AD35" s="80"/>
      <c r="AE35" s="85"/>
      <c r="AF35" s="36"/>
      <c r="AG35" s="34"/>
      <c r="AH35" s="82"/>
      <c r="AI35" s="80"/>
      <c r="AJ35" s="33"/>
      <c r="AK35" s="33"/>
      <c r="AL35" s="34"/>
      <c r="AM35" s="82"/>
      <c r="AN35" s="80"/>
      <c r="AO35" s="85"/>
      <c r="AP35" s="33"/>
      <c r="AQ35" s="34"/>
      <c r="AR35" s="82"/>
      <c r="AS35" s="80"/>
      <c r="AT35" s="85"/>
      <c r="AU35" s="33"/>
      <c r="AV35" s="34"/>
      <c r="AW35" s="82"/>
      <c r="AX35" s="80"/>
      <c r="AY35" s="85"/>
      <c r="AZ35" s="33"/>
      <c r="BA35" s="34"/>
      <c r="BB35" s="82"/>
      <c r="BC35" s="80"/>
      <c r="BD35" s="85"/>
      <c r="BE35" s="33"/>
      <c r="BF35" s="34"/>
      <c r="BG35" s="82"/>
      <c r="BH35" s="80"/>
      <c r="BI35" s="70"/>
      <c r="BK35" s="1"/>
    </row>
    <row r="36" hidden="1" spans="2:67">
      <c r="B36" s="86" t="s">
        <v>167</v>
      </c>
      <c r="C36" s="72"/>
      <c r="D36" s="87"/>
      <c r="E36" s="74"/>
      <c r="H36" s="1"/>
      <c r="I36" s="88"/>
      <c r="J36" s="74"/>
      <c r="M36" s="1"/>
      <c r="N36" s="88"/>
      <c r="O36" s="74"/>
      <c r="R36" s="1"/>
      <c r="S36" s="88"/>
      <c r="T36" s="74"/>
      <c r="U36" s="70"/>
      <c r="W36" s="1"/>
      <c r="X36" s="88"/>
      <c r="Y36" s="74"/>
      <c r="AB36" s="1"/>
      <c r="AC36" s="88"/>
      <c r="AD36" s="74"/>
      <c r="AE36" s="70"/>
      <c r="AF36" s="21"/>
      <c r="AG36" s="1"/>
      <c r="AH36" s="88"/>
      <c r="AI36" s="74"/>
      <c r="AL36" s="1"/>
      <c r="AM36" s="88"/>
      <c r="AN36" s="74"/>
      <c r="AQ36" s="1"/>
      <c r="AR36" s="88"/>
      <c r="AS36" s="74"/>
      <c r="AV36" s="1"/>
      <c r="AW36" s="88"/>
      <c r="AX36" s="74"/>
      <c r="AY36" s="70"/>
      <c r="BA36" s="1"/>
      <c r="BB36" s="88"/>
      <c r="BC36" s="74"/>
      <c r="BF36" s="1"/>
      <c r="BG36" s="88"/>
      <c r="BH36" s="74"/>
      <c r="BI36" s="70"/>
      <c r="BK36" s="1"/>
    </row>
    <row r="37" hidden="1" spans="2:67">
      <c r="B37" s="71" t="s">
        <v>160</v>
      </c>
      <c r="C37" s="89">
        <v>2</v>
      </c>
      <c r="D37" s="73" t="s">
        <v>60</v>
      </c>
      <c r="E37" s="74">
        <v>0.5</v>
      </c>
      <c r="H37" s="1"/>
      <c r="I37" s="75" t="s">
        <v>60</v>
      </c>
      <c r="J37" s="74">
        <v>0.6</v>
      </c>
      <c r="K37" s="76"/>
      <c r="M37" s="1"/>
      <c r="N37" s="75" t="s">
        <v>60</v>
      </c>
      <c r="O37" s="74">
        <v>0.7</v>
      </c>
      <c r="R37" s="1"/>
      <c r="S37" s="75" t="s">
        <v>60</v>
      </c>
      <c r="T37" s="74">
        <v>0.75</v>
      </c>
      <c r="U37" s="70"/>
      <c r="W37" s="1"/>
      <c r="X37" s="75" t="s">
        <v>60</v>
      </c>
      <c r="Y37" s="74">
        <v>0.8</v>
      </c>
      <c r="Z37" s="76"/>
      <c r="AB37" s="1"/>
      <c r="AC37" s="75" t="s">
        <v>168</v>
      </c>
      <c r="AD37" s="74"/>
      <c r="AE37" s="70"/>
      <c r="AF37" s="21"/>
      <c r="AG37" s="1"/>
      <c r="AH37" s="75" t="s">
        <v>60</v>
      </c>
      <c r="AI37" s="74">
        <v>0.7</v>
      </c>
      <c r="AL37" s="1"/>
      <c r="AM37" s="75" t="s">
        <v>60</v>
      </c>
      <c r="AN37" s="74">
        <v>0.75</v>
      </c>
      <c r="AO37" s="76"/>
      <c r="AQ37" s="1"/>
      <c r="AR37" s="75" t="s">
        <v>60</v>
      </c>
      <c r="AS37" s="74">
        <v>0.8</v>
      </c>
      <c r="AT37" s="70"/>
      <c r="AV37" s="1"/>
      <c r="AW37" s="75" t="s">
        <v>36</v>
      </c>
      <c r="AX37" s="74">
        <v>0.825</v>
      </c>
      <c r="AY37" s="70"/>
      <c r="BA37" s="1"/>
      <c r="BB37" s="75" t="s">
        <v>36</v>
      </c>
      <c r="BC37" s="74">
        <v>0.85</v>
      </c>
      <c r="BD37" s="76"/>
      <c r="BF37" s="1"/>
      <c r="BG37" s="75" t="s">
        <v>36</v>
      </c>
      <c r="BH37" s="74"/>
      <c r="BI37" s="70"/>
      <c r="BK37" s="1"/>
    </row>
    <row r="38" hidden="1" spans="2:67">
      <c r="B38" s="77" t="s">
        <v>160</v>
      </c>
      <c r="C38" s="90">
        <v>2</v>
      </c>
      <c r="D38" s="79"/>
      <c r="E38" s="80"/>
      <c r="F38" s="33"/>
      <c r="G38" s="33"/>
      <c r="H38" s="34"/>
      <c r="I38" s="82"/>
      <c r="J38" s="80"/>
      <c r="K38" s="33"/>
      <c r="L38" s="33"/>
      <c r="M38" s="34"/>
      <c r="N38" s="82"/>
      <c r="O38" s="80"/>
      <c r="P38" s="33"/>
      <c r="Q38" s="33"/>
      <c r="R38" s="34"/>
      <c r="S38" s="82"/>
      <c r="T38" s="80"/>
      <c r="U38" s="85"/>
      <c r="V38" s="33"/>
      <c r="W38" s="34"/>
      <c r="X38" s="82"/>
      <c r="Y38" s="80"/>
      <c r="Z38" s="33"/>
      <c r="AA38" s="33"/>
      <c r="AB38" s="34"/>
      <c r="AC38" s="82"/>
      <c r="AD38" s="80"/>
      <c r="AE38" s="85"/>
      <c r="AF38" s="36"/>
      <c r="AG38" s="34"/>
      <c r="AH38" s="82"/>
      <c r="AI38" s="80"/>
      <c r="AJ38" s="33"/>
      <c r="AK38" s="33"/>
      <c r="AL38" s="34"/>
      <c r="AM38" s="82"/>
      <c r="AN38" s="80"/>
      <c r="AO38" s="33"/>
      <c r="AP38" s="33"/>
      <c r="AQ38" s="34"/>
      <c r="AR38" s="82"/>
      <c r="AS38" s="80"/>
      <c r="AT38" s="33"/>
      <c r="AU38" s="33"/>
      <c r="AV38" s="34"/>
      <c r="AW38" s="82"/>
      <c r="AX38" s="80"/>
      <c r="AY38" s="85"/>
      <c r="AZ38" s="33"/>
      <c r="BA38" s="34"/>
      <c r="BB38" s="82"/>
      <c r="BC38" s="80"/>
      <c r="BD38" s="33"/>
      <c r="BE38" s="33"/>
      <c r="BF38" s="34"/>
      <c r="BG38" s="82"/>
      <c r="BH38" s="80"/>
      <c r="BI38" s="70"/>
      <c r="BK38" s="1"/>
    </row>
    <row r="39" hidden="1" spans="2:67">
      <c r="B39" s="71" t="s">
        <v>161</v>
      </c>
      <c r="C39" s="89">
        <v>2</v>
      </c>
      <c r="D39" s="73" t="s">
        <v>71</v>
      </c>
      <c r="E39" s="74">
        <v>0.5</v>
      </c>
      <c r="H39" s="1"/>
      <c r="I39" s="75" t="s">
        <v>71</v>
      </c>
      <c r="J39" s="74">
        <v>0.55</v>
      </c>
      <c r="K39" s="76"/>
      <c r="M39" s="1"/>
      <c r="N39" s="75" t="s">
        <v>71</v>
      </c>
      <c r="O39" s="74">
        <v>0.6</v>
      </c>
      <c r="R39" s="1"/>
      <c r="S39" s="75" t="s">
        <v>71</v>
      </c>
      <c r="T39" s="74">
        <v>0.625</v>
      </c>
      <c r="U39" s="70"/>
      <c r="W39" s="1"/>
      <c r="X39" s="75" t="s">
        <v>71</v>
      </c>
      <c r="Y39" s="74">
        <v>0.65</v>
      </c>
      <c r="Z39" s="76"/>
      <c r="AB39" s="1"/>
      <c r="AC39" s="75" t="s">
        <v>168</v>
      </c>
      <c r="AD39" s="74"/>
      <c r="AE39" s="70"/>
      <c r="AF39" s="21"/>
      <c r="AG39" s="1"/>
      <c r="AH39" s="75" t="s">
        <v>71</v>
      </c>
      <c r="AI39" s="74">
        <v>0.7</v>
      </c>
      <c r="AL39" s="1"/>
      <c r="AM39" s="75" t="s">
        <v>71</v>
      </c>
      <c r="AN39" s="74">
        <v>0.75</v>
      </c>
      <c r="AO39" s="76"/>
      <c r="AQ39" s="1"/>
      <c r="AR39" s="75" t="s">
        <v>71</v>
      </c>
      <c r="AS39" s="74">
        <v>0.8</v>
      </c>
      <c r="AT39" s="70"/>
      <c r="AV39" s="1"/>
      <c r="AW39" s="75" t="s">
        <v>71</v>
      </c>
      <c r="AX39" s="74">
        <v>0.825</v>
      </c>
      <c r="AY39" s="70"/>
      <c r="BA39" s="1"/>
      <c r="BB39" s="75" t="s">
        <v>71</v>
      </c>
      <c r="BC39" s="74">
        <v>0.85</v>
      </c>
      <c r="BD39" s="76"/>
      <c r="BF39" s="1"/>
      <c r="BG39" s="75" t="s">
        <v>71</v>
      </c>
      <c r="BH39" s="74"/>
      <c r="BI39" s="70"/>
      <c r="BK39" s="1"/>
    </row>
    <row r="40" hidden="1" spans="2:67">
      <c r="B40" s="77" t="s">
        <v>161</v>
      </c>
      <c r="C40" s="90">
        <v>2</v>
      </c>
      <c r="D40" s="79" t="s">
        <v>29</v>
      </c>
      <c r="E40" s="80">
        <v>0.5</v>
      </c>
      <c r="F40" s="33"/>
      <c r="G40" s="33"/>
      <c r="H40" s="34"/>
      <c r="I40" s="82" t="s">
        <v>29</v>
      </c>
      <c r="J40" s="74">
        <v>0.55</v>
      </c>
      <c r="K40" s="33"/>
      <c r="L40" s="33"/>
      <c r="M40" s="34"/>
      <c r="N40" s="82" t="s">
        <v>29</v>
      </c>
      <c r="O40" s="74">
        <v>0.6</v>
      </c>
      <c r="P40" s="33"/>
      <c r="Q40" s="33"/>
      <c r="R40" s="34"/>
      <c r="S40" s="82" t="s">
        <v>29</v>
      </c>
      <c r="T40" s="74">
        <v>0.625</v>
      </c>
      <c r="U40" s="85"/>
      <c r="V40" s="33"/>
      <c r="W40" s="34"/>
      <c r="X40" s="82" t="s">
        <v>29</v>
      </c>
      <c r="Y40" s="74">
        <v>0.65</v>
      </c>
      <c r="Z40" s="33"/>
      <c r="AA40" s="33"/>
      <c r="AB40" s="34"/>
      <c r="AC40" s="82"/>
      <c r="AD40" s="80"/>
      <c r="AE40" s="85"/>
      <c r="AF40" s="36"/>
      <c r="AG40" s="34"/>
      <c r="AH40" s="82"/>
      <c r="AI40" s="80"/>
      <c r="AJ40" s="33"/>
      <c r="AK40" s="33"/>
      <c r="AL40" s="34"/>
      <c r="AM40" s="82"/>
      <c r="AN40" s="80"/>
      <c r="AO40" s="33"/>
      <c r="AP40" s="33"/>
      <c r="AQ40" s="34"/>
      <c r="AR40" s="82"/>
      <c r="AS40" s="80"/>
      <c r="AT40" s="33"/>
      <c r="AU40" s="33"/>
      <c r="AV40" s="34"/>
      <c r="AW40" s="82"/>
      <c r="AX40" s="80"/>
      <c r="AY40" s="85"/>
      <c r="AZ40" s="33"/>
      <c r="BA40" s="34"/>
      <c r="BB40" s="82"/>
      <c r="BC40" s="80"/>
      <c r="BD40" s="33"/>
      <c r="BE40" s="33"/>
      <c r="BF40" s="34"/>
      <c r="BG40" s="82"/>
      <c r="BH40" s="80"/>
      <c r="BI40" s="70"/>
      <c r="BK40" s="1"/>
    </row>
    <row r="41" hidden="1" spans="2:67">
      <c r="B41" s="71" t="s">
        <v>162</v>
      </c>
      <c r="C41" s="89">
        <v>2</v>
      </c>
      <c r="D41" s="73" t="s">
        <v>27</v>
      </c>
      <c r="E41" s="91">
        <v>0.5</v>
      </c>
      <c r="F41" s="9"/>
      <c r="G41" s="9"/>
      <c r="H41" s="10"/>
      <c r="I41" s="75" t="s">
        <v>27</v>
      </c>
      <c r="J41" s="91">
        <v>0.6</v>
      </c>
      <c r="K41" s="76"/>
      <c r="M41" s="1"/>
      <c r="N41" s="75" t="s">
        <v>27</v>
      </c>
      <c r="O41" s="91">
        <v>0.7</v>
      </c>
      <c r="P41" s="9"/>
      <c r="Q41" s="9"/>
      <c r="R41" s="10"/>
      <c r="S41" s="75" t="s">
        <v>27</v>
      </c>
      <c r="T41" s="74">
        <v>0.75</v>
      </c>
      <c r="U41" s="69"/>
      <c r="V41" s="9"/>
      <c r="W41" s="10"/>
      <c r="X41" s="75" t="s">
        <v>27</v>
      </c>
      <c r="Y41" s="74">
        <v>0.8</v>
      </c>
      <c r="Z41" s="76"/>
      <c r="AB41" s="1"/>
      <c r="AC41" s="75" t="s">
        <v>168</v>
      </c>
      <c r="AD41" s="91"/>
      <c r="AE41" s="70"/>
      <c r="AF41" s="21"/>
      <c r="AG41" s="1"/>
      <c r="AH41" s="75" t="s">
        <v>136</v>
      </c>
      <c r="AI41" s="74">
        <v>0.7</v>
      </c>
      <c r="AL41" s="1"/>
      <c r="AM41" s="75" t="s">
        <v>136</v>
      </c>
      <c r="AN41" s="74">
        <v>0.75</v>
      </c>
      <c r="AO41" s="76"/>
      <c r="AQ41" s="1"/>
      <c r="AR41" s="75" t="s">
        <v>136</v>
      </c>
      <c r="AS41" s="74">
        <v>0.8</v>
      </c>
      <c r="AT41" s="70"/>
      <c r="AV41" s="1"/>
      <c r="AW41" s="75" t="s">
        <v>136</v>
      </c>
      <c r="AX41" s="74">
        <v>0.825</v>
      </c>
      <c r="AY41" s="70"/>
      <c r="BA41" s="1"/>
      <c r="BB41" s="75" t="s">
        <v>136</v>
      </c>
      <c r="BC41" s="74">
        <v>0.85</v>
      </c>
      <c r="BD41" s="76"/>
      <c r="BF41" s="1"/>
      <c r="BG41" s="75" t="s">
        <v>136</v>
      </c>
      <c r="BH41" s="74"/>
      <c r="BI41" s="70"/>
      <c r="BK41" s="1"/>
    </row>
    <row r="42" hidden="1" spans="2:67">
      <c r="B42" s="77" t="s">
        <v>162</v>
      </c>
      <c r="C42" s="90">
        <v>2</v>
      </c>
      <c r="D42" s="79"/>
      <c r="E42" s="80"/>
      <c r="F42" s="33"/>
      <c r="G42" s="33"/>
      <c r="H42" s="34"/>
      <c r="I42" s="82"/>
      <c r="J42" s="80"/>
      <c r="K42" s="33"/>
      <c r="L42" s="33"/>
      <c r="M42" s="34"/>
      <c r="N42" s="82"/>
      <c r="O42" s="80"/>
      <c r="P42" s="33"/>
      <c r="Q42" s="33"/>
      <c r="R42" s="34"/>
      <c r="S42" s="82"/>
      <c r="T42" s="74"/>
      <c r="U42" s="85"/>
      <c r="V42" s="33"/>
      <c r="W42" s="34"/>
      <c r="X42" s="82"/>
      <c r="Y42" s="74"/>
      <c r="Z42" s="33"/>
      <c r="AA42" s="33"/>
      <c r="AB42" s="34"/>
      <c r="AC42" s="82"/>
      <c r="AD42" s="80"/>
      <c r="AE42" s="85"/>
      <c r="AF42" s="36"/>
      <c r="AG42" s="34"/>
      <c r="AH42" s="82"/>
      <c r="AI42" s="80"/>
      <c r="AJ42" s="33"/>
      <c r="AK42" s="33"/>
      <c r="AL42" s="34"/>
      <c r="AM42" s="82"/>
      <c r="AN42" s="80"/>
      <c r="AO42" s="33"/>
      <c r="AP42" s="33"/>
      <c r="AQ42" s="34"/>
      <c r="AR42" s="82"/>
      <c r="AS42" s="80"/>
      <c r="AT42" s="33"/>
      <c r="AU42" s="33"/>
      <c r="AV42" s="34"/>
      <c r="AW42" s="82"/>
      <c r="AX42" s="80"/>
      <c r="AY42" s="85"/>
      <c r="AZ42" s="33"/>
      <c r="BA42" s="34"/>
      <c r="BB42" s="82"/>
      <c r="BC42" s="80"/>
      <c r="BD42" s="33"/>
      <c r="BE42" s="33"/>
      <c r="BF42" s="34"/>
      <c r="BG42" s="82"/>
      <c r="BH42" s="80"/>
      <c r="BI42" s="70"/>
      <c r="BK42" s="1"/>
      <c r="BL42" s="3"/>
      <c r="BM42" s="4"/>
      <c r="BN42" s="4"/>
      <c r="BO42" s="4"/>
    </row>
    <row r="43" hidden="1" spans="2:67">
      <c r="B43" s="71" t="s">
        <v>163</v>
      </c>
      <c r="C43" s="89">
        <v>2</v>
      </c>
      <c r="D43" s="73" t="s">
        <v>69</v>
      </c>
      <c r="E43" s="74">
        <v>0.45</v>
      </c>
      <c r="H43" s="1"/>
      <c r="I43" s="75" t="s">
        <v>69</v>
      </c>
      <c r="J43" s="74">
        <v>0.5</v>
      </c>
      <c r="K43" s="76"/>
      <c r="M43" s="1"/>
      <c r="N43" s="75" t="s">
        <v>69</v>
      </c>
      <c r="O43" s="74">
        <v>0.55</v>
      </c>
      <c r="R43" s="1"/>
      <c r="S43" s="75" t="s">
        <v>69</v>
      </c>
      <c r="T43" s="74">
        <v>0.575</v>
      </c>
      <c r="U43" s="70"/>
      <c r="W43" s="1"/>
      <c r="X43" s="75" t="s">
        <v>69</v>
      </c>
      <c r="Y43" s="74">
        <v>0.6</v>
      </c>
      <c r="Z43" s="76"/>
      <c r="AB43" s="1"/>
      <c r="AC43" s="75" t="s">
        <v>168</v>
      </c>
      <c r="AD43" s="74"/>
      <c r="AF43" s="21"/>
      <c r="AG43" s="1"/>
      <c r="AH43" s="75" t="s">
        <v>69</v>
      </c>
      <c r="AI43" s="74">
        <v>0.65</v>
      </c>
      <c r="AL43" s="1"/>
      <c r="AM43" s="75" t="s">
        <v>69</v>
      </c>
      <c r="AN43" s="74">
        <v>0.7</v>
      </c>
      <c r="AO43" s="76"/>
      <c r="AQ43" s="1"/>
      <c r="AR43" s="75" t="s">
        <v>69</v>
      </c>
      <c r="AS43" s="74">
        <v>0.75</v>
      </c>
      <c r="AT43" s="70"/>
      <c r="AV43" s="1"/>
      <c r="AW43" s="75" t="s">
        <v>69</v>
      </c>
      <c r="AX43" s="74">
        <v>0.775</v>
      </c>
      <c r="AY43" s="70"/>
      <c r="BA43" s="1"/>
      <c r="BB43" s="75" t="s">
        <v>69</v>
      </c>
      <c r="BC43" s="74">
        <v>0.8</v>
      </c>
      <c r="BD43" s="76"/>
      <c r="BF43" s="1"/>
      <c r="BG43" s="75" t="s">
        <v>69</v>
      </c>
      <c r="BH43" s="74"/>
      <c r="BI43" s="70"/>
      <c r="BK43" s="1"/>
      <c r="BL43" s="3"/>
      <c r="BM43" s="4"/>
      <c r="BN43" s="4"/>
      <c r="BO43" s="4"/>
    </row>
    <row r="44" hidden="1" spans="2:67">
      <c r="B44" s="77" t="s">
        <v>163</v>
      </c>
      <c r="C44" s="90">
        <v>2</v>
      </c>
      <c r="D44" s="79" t="s">
        <v>169</v>
      </c>
      <c r="E44" s="80">
        <v>0.5</v>
      </c>
      <c r="F44" s="33"/>
      <c r="G44" s="33"/>
      <c r="H44" s="34"/>
      <c r="I44" s="82" t="s">
        <v>169</v>
      </c>
      <c r="J44" s="80">
        <v>0.55</v>
      </c>
      <c r="K44" s="33"/>
      <c r="L44" s="33"/>
      <c r="M44" s="34"/>
      <c r="N44" s="82" t="s">
        <v>169</v>
      </c>
      <c r="O44" s="80">
        <v>0.6</v>
      </c>
      <c r="P44" s="33"/>
      <c r="Q44" s="33"/>
      <c r="R44" s="34"/>
      <c r="S44" s="82" t="s">
        <v>169</v>
      </c>
      <c r="T44" s="80">
        <v>0.625</v>
      </c>
      <c r="U44" s="85"/>
      <c r="V44" s="33"/>
      <c r="W44" s="34"/>
      <c r="X44" s="82" t="s">
        <v>169</v>
      </c>
      <c r="Y44" s="80">
        <v>0.7</v>
      </c>
      <c r="Z44" s="33"/>
      <c r="AA44" s="33"/>
      <c r="AB44" s="34"/>
      <c r="AC44" s="82"/>
      <c r="AD44" s="80"/>
      <c r="AE44" s="85"/>
      <c r="AF44" s="36"/>
      <c r="AG44" s="34"/>
      <c r="AH44" s="82"/>
      <c r="AI44" s="80"/>
      <c r="AJ44" s="33"/>
      <c r="AK44" s="33"/>
      <c r="AL44" s="34"/>
      <c r="AM44" s="82"/>
      <c r="AN44" s="80"/>
      <c r="AO44" s="33"/>
      <c r="AP44" s="33"/>
      <c r="AQ44" s="34"/>
      <c r="AR44" s="82"/>
      <c r="AS44" s="80"/>
      <c r="AT44" s="33"/>
      <c r="AU44" s="33"/>
      <c r="AV44" s="34"/>
      <c r="AW44" s="82"/>
      <c r="AX44" s="80"/>
      <c r="AY44" s="85"/>
      <c r="AZ44" s="33"/>
      <c r="BA44" s="34"/>
      <c r="BB44" s="82"/>
      <c r="BC44" s="80"/>
      <c r="BD44" s="33"/>
      <c r="BE44" s="33"/>
      <c r="BF44" s="34"/>
      <c r="BG44" s="82"/>
      <c r="BH44" s="80"/>
      <c r="BI44" s="70"/>
      <c r="BK44" s="1"/>
    </row>
    <row r="45" hidden="1" spans="2:67">
      <c r="B45" s="71" t="s">
        <v>164</v>
      </c>
      <c r="C45" s="89">
        <v>2</v>
      </c>
      <c r="D45" s="73"/>
      <c r="E45" s="92"/>
      <c r="F45" s="93"/>
      <c r="G45" s="93"/>
      <c r="H45" s="94"/>
      <c r="I45" s="75"/>
      <c r="J45" s="92"/>
      <c r="K45" s="93"/>
      <c r="L45" s="93"/>
      <c r="M45" s="94"/>
      <c r="N45" s="75"/>
      <c r="O45" s="92"/>
      <c r="P45" s="93"/>
      <c r="Q45" s="93"/>
      <c r="R45" s="94"/>
      <c r="S45" s="75"/>
      <c r="T45" s="95"/>
      <c r="U45" s="93"/>
      <c r="V45" s="93"/>
      <c r="W45" s="94"/>
      <c r="X45" s="75"/>
      <c r="Y45" s="95"/>
      <c r="Z45" s="93"/>
      <c r="AA45" s="93"/>
      <c r="AB45" s="94"/>
      <c r="AC45" s="75"/>
      <c r="AD45" s="96"/>
      <c r="AE45" s="70"/>
      <c r="AF45" s="21"/>
      <c r="AG45" s="1"/>
      <c r="AH45" s="75"/>
      <c r="AI45" s="92"/>
      <c r="AJ45" s="93"/>
      <c r="AK45" s="93"/>
      <c r="AL45" s="94"/>
      <c r="AM45" s="75"/>
      <c r="AN45" s="92"/>
      <c r="AO45" s="93"/>
      <c r="AP45" s="93"/>
      <c r="AQ45" s="94"/>
      <c r="AR45" s="75"/>
      <c r="AS45" s="92"/>
      <c r="AT45" s="93"/>
      <c r="AU45" s="93"/>
      <c r="AV45" s="94"/>
      <c r="AW45" s="75"/>
      <c r="AX45" s="92"/>
      <c r="AY45" s="93"/>
      <c r="AZ45" s="93"/>
      <c r="BA45" s="94"/>
      <c r="BB45" s="75"/>
      <c r="BC45" s="92"/>
      <c r="BD45" s="93"/>
      <c r="BE45" s="93"/>
      <c r="BF45" s="94"/>
      <c r="BG45" s="75"/>
      <c r="BH45" s="96"/>
      <c r="BI45" s="70"/>
      <c r="BK45" s="1"/>
    </row>
    <row r="46" hidden="1" spans="2:67">
      <c r="B46" s="77" t="s">
        <v>164</v>
      </c>
      <c r="C46" s="90">
        <v>2</v>
      </c>
      <c r="D46" s="79"/>
      <c r="E46" s="80"/>
      <c r="F46" s="33"/>
      <c r="G46" s="33"/>
      <c r="H46" s="34"/>
      <c r="I46" s="82"/>
      <c r="J46" s="80"/>
      <c r="K46" s="33"/>
      <c r="L46" s="33"/>
      <c r="M46" s="34"/>
      <c r="N46" s="82"/>
      <c r="O46" s="80"/>
      <c r="P46" s="33"/>
      <c r="Q46" s="33"/>
      <c r="R46" s="34"/>
      <c r="S46" s="82"/>
      <c r="T46" s="80"/>
      <c r="U46" s="85"/>
      <c r="V46" s="33"/>
      <c r="W46" s="34"/>
      <c r="X46" s="82"/>
      <c r="Y46" s="80"/>
      <c r="Z46" s="33"/>
      <c r="AA46" s="33"/>
      <c r="AB46" s="34"/>
      <c r="AC46" s="82"/>
      <c r="AD46" s="97"/>
      <c r="AE46" s="85"/>
      <c r="AF46" s="36"/>
      <c r="AG46" s="34"/>
      <c r="AH46" s="82"/>
      <c r="AI46" s="80"/>
      <c r="AJ46" s="33"/>
      <c r="AK46" s="33"/>
      <c r="AL46" s="34"/>
      <c r="AM46" s="82"/>
      <c r="AN46" s="80"/>
      <c r="AO46" s="33"/>
      <c r="AP46" s="33"/>
      <c r="AQ46" s="34"/>
      <c r="AR46" s="82"/>
      <c r="AS46" s="80"/>
      <c r="AT46" s="33"/>
      <c r="AU46" s="33"/>
      <c r="AV46" s="34"/>
      <c r="AW46" s="82"/>
      <c r="AX46" s="80"/>
      <c r="AY46" s="85"/>
      <c r="AZ46" s="33"/>
      <c r="BA46" s="34"/>
      <c r="BB46" s="82"/>
      <c r="BC46" s="80"/>
      <c r="BD46" s="33"/>
      <c r="BE46" s="33"/>
      <c r="BF46" s="34"/>
      <c r="BG46" s="82"/>
      <c r="BH46" s="97"/>
      <c r="BI46" s="70"/>
      <c r="BK46" s="1"/>
    </row>
    <row r="47" hidden="1" spans="2:67">
      <c r="B47" s="71" t="s">
        <v>165</v>
      </c>
      <c r="C47" s="89">
        <v>2</v>
      </c>
      <c r="D47" s="73"/>
      <c r="E47" s="74"/>
      <c r="H47" s="1"/>
      <c r="I47" s="75"/>
      <c r="J47" s="74"/>
      <c r="M47" s="1"/>
      <c r="N47" s="75"/>
      <c r="O47" s="74"/>
      <c r="R47" s="1"/>
      <c r="S47" s="75"/>
      <c r="T47" s="74"/>
      <c r="U47" s="70"/>
      <c r="W47" s="1"/>
      <c r="X47" s="75"/>
      <c r="Y47" s="74"/>
      <c r="AB47" s="1"/>
      <c r="AC47" s="75"/>
      <c r="AD47" s="98"/>
      <c r="AE47" s="70"/>
      <c r="AF47" s="21"/>
      <c r="AG47" s="1"/>
      <c r="AH47" s="75"/>
      <c r="AI47" s="74"/>
      <c r="AL47" s="1"/>
      <c r="AM47" s="75"/>
      <c r="AN47" s="74"/>
      <c r="AQ47" s="1"/>
      <c r="AR47" s="75"/>
      <c r="AS47" s="74"/>
      <c r="AV47" s="1"/>
      <c r="AW47" s="75"/>
      <c r="AX47" s="74"/>
      <c r="AY47" s="70"/>
      <c r="BA47" s="1"/>
      <c r="BB47" s="75"/>
      <c r="BC47" s="74"/>
      <c r="BF47" s="1"/>
      <c r="BG47" s="75"/>
      <c r="BH47" s="98"/>
      <c r="BI47" s="70"/>
      <c r="BK47" s="1"/>
    </row>
    <row r="48" hidden="1" spans="2:67">
      <c r="B48" s="77" t="s">
        <v>165</v>
      </c>
      <c r="C48" s="90">
        <v>2</v>
      </c>
      <c r="D48" s="79"/>
      <c r="E48" s="80"/>
      <c r="F48" s="33"/>
      <c r="G48" s="33"/>
      <c r="H48" s="34"/>
      <c r="I48" s="82"/>
      <c r="J48" s="80"/>
      <c r="K48" s="33"/>
      <c r="L48" s="33"/>
      <c r="M48" s="34"/>
      <c r="N48" s="82"/>
      <c r="O48" s="80"/>
      <c r="P48" s="33"/>
      <c r="Q48" s="33"/>
      <c r="R48" s="34"/>
      <c r="S48" s="82"/>
      <c r="T48" s="80"/>
      <c r="U48" s="85"/>
      <c r="V48" s="33"/>
      <c r="W48" s="34"/>
      <c r="X48" s="82"/>
      <c r="Y48" s="80"/>
      <c r="Z48" s="33"/>
      <c r="AA48" s="33"/>
      <c r="AB48" s="34"/>
      <c r="AC48" s="82"/>
      <c r="AD48" s="97"/>
      <c r="AE48" s="70"/>
      <c r="AF48" s="21"/>
      <c r="AG48" s="1"/>
      <c r="AH48" s="82"/>
      <c r="AI48" s="80"/>
      <c r="AJ48" s="33"/>
      <c r="AK48" s="33"/>
      <c r="AL48" s="34"/>
      <c r="AM48" s="82"/>
      <c r="AN48" s="80"/>
      <c r="AO48" s="33"/>
      <c r="AP48" s="33"/>
      <c r="AQ48" s="34"/>
      <c r="AR48" s="82"/>
      <c r="AS48" s="80"/>
      <c r="AT48" s="33"/>
      <c r="AU48" s="33"/>
      <c r="AV48" s="34"/>
      <c r="AW48" s="82"/>
      <c r="AX48" s="80"/>
      <c r="AY48" s="85"/>
      <c r="AZ48" s="33"/>
      <c r="BA48" s="34"/>
      <c r="BB48" s="82"/>
      <c r="BC48" s="80"/>
      <c r="BD48" s="33"/>
      <c r="BE48" s="33"/>
      <c r="BF48" s="34"/>
      <c r="BG48" s="82"/>
      <c r="BH48" s="97"/>
      <c r="BI48" s="70"/>
      <c r="BK48" s="1"/>
    </row>
    <row r="49" hidden="1" spans="2:63">
      <c r="B49" s="71" t="s">
        <v>166</v>
      </c>
      <c r="C49" s="89">
        <v>2</v>
      </c>
      <c r="D49" s="99"/>
      <c r="E49" s="74"/>
      <c r="H49" s="1"/>
      <c r="I49" s="100"/>
      <c r="J49" s="74"/>
      <c r="M49" s="1"/>
      <c r="N49" s="100"/>
      <c r="O49" s="74"/>
      <c r="R49" s="1"/>
      <c r="S49" s="100"/>
      <c r="T49" s="74"/>
      <c r="U49" s="70"/>
      <c r="W49" s="1"/>
      <c r="X49" s="100"/>
      <c r="Y49" s="74"/>
      <c r="AB49" s="1"/>
      <c r="AC49" s="100"/>
      <c r="AD49" s="98"/>
      <c r="AE49" s="69"/>
      <c r="AF49" s="12"/>
      <c r="AG49" s="10"/>
      <c r="AH49" s="100"/>
      <c r="AI49" s="74"/>
      <c r="AL49" s="1"/>
      <c r="AM49" s="100"/>
      <c r="AN49" s="74"/>
      <c r="AQ49" s="1"/>
      <c r="AR49" s="100"/>
      <c r="AS49" s="74"/>
      <c r="AV49" s="1"/>
      <c r="AW49" s="100"/>
      <c r="AX49" s="74"/>
      <c r="AY49" s="70"/>
      <c r="BA49" s="1"/>
      <c r="BB49" s="100"/>
      <c r="BC49" s="74"/>
      <c r="BF49" s="1"/>
      <c r="BG49" s="100"/>
      <c r="BH49" s="98"/>
      <c r="BI49" s="70"/>
      <c r="BK49" s="1"/>
    </row>
    <row r="50" hidden="1" spans="2:63">
      <c r="B50" s="77" t="s">
        <v>166</v>
      </c>
      <c r="C50" s="90">
        <v>2</v>
      </c>
      <c r="D50" s="101"/>
      <c r="E50" s="80"/>
      <c r="F50" s="33"/>
      <c r="G50" s="33"/>
      <c r="H50" s="34"/>
      <c r="I50" s="84"/>
      <c r="J50" s="80"/>
      <c r="K50" s="33"/>
      <c r="L50" s="33"/>
      <c r="M50" s="34"/>
      <c r="N50" s="84"/>
      <c r="O50" s="80"/>
      <c r="P50" s="33"/>
      <c r="Q50" s="33"/>
      <c r="R50" s="34"/>
      <c r="S50" s="84"/>
      <c r="T50" s="80"/>
      <c r="U50" s="85"/>
      <c r="V50" s="33"/>
      <c r="W50" s="34"/>
      <c r="X50" s="84"/>
      <c r="Y50" s="80"/>
      <c r="Z50" s="33"/>
      <c r="AA50" s="33"/>
      <c r="AB50" s="34"/>
      <c r="AC50" s="84"/>
      <c r="AD50" s="97"/>
      <c r="AE50" s="85"/>
      <c r="AF50" s="36"/>
      <c r="AG50" s="34"/>
      <c r="AH50" s="84"/>
      <c r="AI50" s="80"/>
      <c r="AJ50" s="33"/>
      <c r="AK50" s="33"/>
      <c r="AL50" s="34"/>
      <c r="AM50" s="84"/>
      <c r="AN50" s="80"/>
      <c r="AO50" s="33"/>
      <c r="AP50" s="33"/>
      <c r="AQ50" s="34"/>
      <c r="AR50" s="84"/>
      <c r="AS50" s="80"/>
      <c r="AT50" s="33"/>
      <c r="AU50" s="33"/>
      <c r="AV50" s="34"/>
      <c r="AW50" s="84"/>
      <c r="AX50" s="80"/>
      <c r="AY50" s="85"/>
      <c r="AZ50" s="33"/>
      <c r="BA50" s="34"/>
      <c r="BB50" s="84"/>
      <c r="BC50" s="80"/>
      <c r="BD50" s="33"/>
      <c r="BE50" s="33"/>
      <c r="BF50" s="34"/>
      <c r="BG50" s="84"/>
      <c r="BH50" s="97"/>
      <c r="BI50" s="70"/>
      <c r="BK50" s="1"/>
    </row>
    <row r="51" ht="6" customHeight="1" spans="2:63">
      <c r="B51" s="23"/>
      <c r="C51" s="102"/>
      <c r="D51" s="73"/>
      <c r="H51" s="1"/>
      <c r="I51" s="75"/>
      <c r="M51" s="1"/>
      <c r="N51" s="75"/>
      <c r="R51" s="1"/>
      <c r="S51" s="75"/>
      <c r="W51" s="1"/>
      <c r="X51" s="75"/>
      <c r="AB51" s="1"/>
      <c r="AC51" s="75"/>
      <c r="AF51" s="21"/>
      <c r="AG51" s="1"/>
      <c r="AH51" s="75"/>
      <c r="AL51" s="1"/>
      <c r="AM51" s="75"/>
      <c r="AQ51" s="1"/>
      <c r="AR51" s="75"/>
      <c r="AV51" s="1"/>
      <c r="AW51" s="75"/>
      <c r="BA51" s="1"/>
      <c r="BB51" s="75"/>
      <c r="BF51" s="1"/>
      <c r="BG51" s="75"/>
      <c r="BK51" s="1"/>
    </row>
    <row r="52" ht="18" customHeight="1" spans="2:63">
      <c r="B52" s="23"/>
      <c r="C52" s="49" t="s">
        <v>94</v>
      </c>
      <c r="D52" s="73"/>
      <c r="E52" s="103" t="s">
        <v>170</v>
      </c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5"/>
      <c r="AB52" s="1"/>
      <c r="AC52" s="75"/>
      <c r="AF52" s="21"/>
      <c r="AG52" s="1"/>
      <c r="AH52" s="75"/>
      <c r="AI52" s="106" t="s">
        <v>171</v>
      </c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8"/>
      <c r="BK52" s="1"/>
    </row>
    <row r="53" ht="18" customHeight="1" spans="2:63">
      <c r="B53" s="23"/>
      <c r="C53" s="49"/>
      <c r="D53" s="73"/>
      <c r="E53" s="109" t="s">
        <v>172</v>
      </c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1"/>
      <c r="AB53" s="1"/>
      <c r="AC53" s="112"/>
      <c r="AF53" s="21"/>
      <c r="AG53" s="113" t="s">
        <v>173</v>
      </c>
      <c r="AH53" s="75"/>
      <c r="AI53" s="114" t="s">
        <v>174</v>
      </c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6"/>
      <c r="BK53" s="1"/>
    </row>
    <row r="54" spans="2:63">
      <c r="C54" s="117"/>
      <c r="D54" s="118" t="s">
        <v>175</v>
      </c>
      <c r="E54" s="119"/>
      <c r="F54" s="119"/>
      <c r="G54" s="119"/>
      <c r="H54" s="120"/>
      <c r="I54" s="118" t="s">
        <v>176</v>
      </c>
      <c r="J54" s="119"/>
      <c r="K54" s="119"/>
      <c r="L54" s="119"/>
      <c r="M54" s="120"/>
      <c r="N54" s="118" t="s">
        <v>177</v>
      </c>
      <c r="O54" s="119"/>
      <c r="P54" s="119"/>
      <c r="Q54" s="119"/>
      <c r="R54" s="120"/>
      <c r="S54" s="118" t="s">
        <v>178</v>
      </c>
      <c r="T54" s="119"/>
      <c r="U54" s="119"/>
      <c r="V54" s="119"/>
      <c r="W54" s="120"/>
      <c r="X54" s="121" t="s">
        <v>179</v>
      </c>
      <c r="Y54" s="119"/>
      <c r="Z54" s="119"/>
      <c r="AA54" s="119"/>
      <c r="AB54" s="120"/>
      <c r="AC54" s="118" t="s">
        <v>180</v>
      </c>
      <c r="AD54" s="122" t="s">
        <v>181</v>
      </c>
      <c r="AE54" s="119"/>
      <c r="AF54" s="123"/>
      <c r="AG54" s="124"/>
      <c r="AH54" s="121" t="s">
        <v>182</v>
      </c>
      <c r="AI54" s="125"/>
      <c r="AJ54" s="119"/>
      <c r="AK54" s="119"/>
      <c r="AL54" s="120"/>
      <c r="AM54" s="118" t="s">
        <v>183</v>
      </c>
      <c r="AN54" s="119"/>
      <c r="AO54" s="119"/>
      <c r="AP54" s="119"/>
      <c r="AQ54" s="120"/>
      <c r="AR54" s="118" t="s">
        <v>184</v>
      </c>
      <c r="AS54" s="119"/>
      <c r="AT54" s="119"/>
      <c r="AU54" s="119"/>
      <c r="AV54" s="120"/>
      <c r="AW54" s="118" t="s">
        <v>185</v>
      </c>
      <c r="AX54" s="119"/>
      <c r="AY54" s="119"/>
      <c r="AZ54" s="119"/>
      <c r="BA54" s="120"/>
      <c r="BB54" s="121" t="s">
        <v>186</v>
      </c>
      <c r="BC54" s="119"/>
      <c r="BD54" s="119"/>
      <c r="BE54" s="119"/>
      <c r="BF54" s="120"/>
      <c r="BG54" s="118" t="s">
        <v>151</v>
      </c>
      <c r="BH54" s="119"/>
      <c r="BI54" s="119"/>
      <c r="BJ54" s="119"/>
      <c r="BK54" s="120"/>
    </row>
    <row r="55" spans="2:63">
      <c r="C55" s="126"/>
      <c r="D55" s="127" t="s">
        <v>160</v>
      </c>
      <c r="E55" s="128"/>
      <c r="F55" s="128"/>
      <c r="G55" s="128"/>
      <c r="H55" s="129"/>
      <c r="I55" s="130" t="s">
        <v>160</v>
      </c>
      <c r="J55" s="128"/>
      <c r="K55" s="128"/>
      <c r="L55" s="128"/>
      <c r="M55" s="129"/>
      <c r="N55" s="130" t="s">
        <v>160</v>
      </c>
      <c r="O55" s="128"/>
      <c r="P55" s="128"/>
      <c r="Q55" s="128"/>
      <c r="R55" s="129"/>
      <c r="S55" s="130" t="s">
        <v>160</v>
      </c>
      <c r="T55" s="128"/>
      <c r="U55" s="128"/>
      <c r="V55" s="128"/>
      <c r="W55" s="129"/>
      <c r="X55" s="130" t="s">
        <v>160</v>
      </c>
      <c r="Y55" s="128"/>
      <c r="Z55" s="128"/>
      <c r="AA55" s="128"/>
      <c r="AB55" s="129"/>
      <c r="AC55" s="130" t="s">
        <v>160</v>
      </c>
      <c r="AD55" s="131" t="s">
        <v>187</v>
      </c>
      <c r="AE55" s="128"/>
      <c r="AF55" s="132"/>
      <c r="AG55" s="133"/>
      <c r="AH55" s="130" t="s">
        <v>160</v>
      </c>
      <c r="AI55" s="128"/>
      <c r="AJ55" s="128"/>
      <c r="AK55" s="128"/>
      <c r="AL55" s="129"/>
      <c r="AM55" s="130" t="s">
        <v>160</v>
      </c>
      <c r="AN55" s="128"/>
      <c r="AO55" s="128"/>
      <c r="AP55" s="128"/>
      <c r="AQ55" s="129"/>
      <c r="AR55" s="130" t="s">
        <v>160</v>
      </c>
      <c r="AS55" s="128"/>
      <c r="AT55" s="128"/>
      <c r="AU55" s="128"/>
      <c r="AV55" s="129"/>
      <c r="AW55" s="130" t="s">
        <v>160</v>
      </c>
      <c r="AX55" s="128"/>
      <c r="AY55" s="128"/>
      <c r="AZ55" s="128"/>
      <c r="BA55" s="129"/>
      <c r="BB55" s="130" t="s">
        <v>160</v>
      </c>
      <c r="BC55" s="128"/>
      <c r="BD55" s="128"/>
      <c r="BE55" s="128"/>
      <c r="BF55" s="129"/>
      <c r="BG55" s="130" t="s">
        <v>160</v>
      </c>
      <c r="BH55" s="128"/>
      <c r="BI55" s="128"/>
      <c r="BJ55" s="128"/>
      <c r="BK55" s="129"/>
    </row>
    <row r="56" spans="2:63">
      <c r="C56" s="134" t="s">
        <v>128</v>
      </c>
      <c r="D56" s="135" t="s">
        <v>99</v>
      </c>
      <c r="E56" s="136" t="s">
        <v>100</v>
      </c>
      <c r="F56" s="136" t="s">
        <v>101</v>
      </c>
      <c r="G56" s="136" t="s">
        <v>102</v>
      </c>
      <c r="H56" s="129"/>
      <c r="I56" s="135" t="s">
        <v>99</v>
      </c>
      <c r="J56" s="136" t="s">
        <v>100</v>
      </c>
      <c r="K56" s="136" t="s">
        <v>101</v>
      </c>
      <c r="L56" s="136" t="s">
        <v>102</v>
      </c>
      <c r="M56" s="129"/>
      <c r="N56" s="135" t="s">
        <v>99</v>
      </c>
      <c r="O56" s="136" t="s">
        <v>100</v>
      </c>
      <c r="P56" s="136" t="s">
        <v>101</v>
      </c>
      <c r="Q56" s="136" t="s">
        <v>102</v>
      </c>
      <c r="R56" s="129"/>
      <c r="S56" s="135" t="s">
        <v>99</v>
      </c>
      <c r="T56" s="136" t="s">
        <v>100</v>
      </c>
      <c r="U56" s="136" t="s">
        <v>101</v>
      </c>
      <c r="V56" s="136" t="s">
        <v>102</v>
      </c>
      <c r="W56" s="129"/>
      <c r="X56" s="137" t="s">
        <v>99</v>
      </c>
      <c r="Y56" s="136" t="s">
        <v>100</v>
      </c>
      <c r="Z56" s="136" t="s">
        <v>101</v>
      </c>
      <c r="AA56" s="136" t="s">
        <v>102</v>
      </c>
      <c r="AB56" s="129"/>
      <c r="AC56" s="135" t="s">
        <v>99</v>
      </c>
      <c r="AD56" s="136" t="s">
        <v>100</v>
      </c>
      <c r="AE56" s="136" t="s">
        <v>101</v>
      </c>
      <c r="AF56" s="138" t="s">
        <v>102</v>
      </c>
      <c r="AG56" s="139" t="s">
        <v>128</v>
      </c>
      <c r="AH56" s="137" t="s">
        <v>99</v>
      </c>
      <c r="AI56" s="136" t="s">
        <v>100</v>
      </c>
      <c r="AJ56" s="136" t="s">
        <v>101</v>
      </c>
      <c r="AK56" s="136" t="s">
        <v>102</v>
      </c>
      <c r="AL56" s="129"/>
      <c r="AM56" s="135" t="s">
        <v>99</v>
      </c>
      <c r="AN56" s="136" t="s">
        <v>100</v>
      </c>
      <c r="AO56" s="136" t="s">
        <v>101</v>
      </c>
      <c r="AP56" s="136" t="s">
        <v>102</v>
      </c>
      <c r="AQ56" s="129"/>
      <c r="AR56" s="135" t="s">
        <v>99</v>
      </c>
      <c r="AS56" s="136" t="s">
        <v>100</v>
      </c>
      <c r="AT56" s="136" t="s">
        <v>101</v>
      </c>
      <c r="AU56" s="136" t="s">
        <v>102</v>
      </c>
      <c r="AV56" s="129"/>
      <c r="AW56" s="135" t="s">
        <v>99</v>
      </c>
      <c r="AX56" s="136" t="s">
        <v>100</v>
      </c>
      <c r="AY56" s="136" t="s">
        <v>101</v>
      </c>
      <c r="AZ56" s="136" t="s">
        <v>102</v>
      </c>
      <c r="BA56" s="129"/>
      <c r="BB56" s="137" t="s">
        <v>99</v>
      </c>
      <c r="BC56" s="136" t="s">
        <v>100</v>
      </c>
      <c r="BD56" s="136" t="s">
        <v>101</v>
      </c>
      <c r="BE56" s="136" t="s">
        <v>102</v>
      </c>
      <c r="BF56" s="129"/>
      <c r="BG56" s="135" t="s">
        <v>99</v>
      </c>
      <c r="BH56" s="136" t="s">
        <v>100</v>
      </c>
      <c r="BI56" s="136" t="s">
        <v>101</v>
      </c>
      <c r="BJ56" s="136" t="s">
        <v>102</v>
      </c>
      <c r="BK56" s="129"/>
    </row>
    <row r="57" spans="2:63">
      <c r="C57" s="72">
        <v>1</v>
      </c>
      <c r="D57" s="17" t="str">
        <f>D15</f>
        <v>比赛深蹲</v>
      </c>
      <c r="E57" s="20" t="s">
        <v>188</v>
      </c>
      <c r="F57" s="9"/>
      <c r="G57" s="12"/>
      <c r="H57" s="129"/>
      <c r="I57" s="3" t="str">
        <f>I15</f>
        <v>比赛深蹲</v>
      </c>
      <c r="J57" s="20" t="s">
        <v>189</v>
      </c>
      <c r="K57" s="9"/>
      <c r="L57" s="12"/>
      <c r="M57" s="129"/>
      <c r="N57" s="3" t="str">
        <f>N15</f>
        <v>比赛深蹲</v>
      </c>
      <c r="O57" s="20" t="s">
        <v>190</v>
      </c>
      <c r="P57" s="9"/>
      <c r="Q57" s="12"/>
      <c r="R57" s="129"/>
      <c r="S57" s="3" t="str">
        <f>S15</f>
        <v>比赛深蹲</v>
      </c>
      <c r="T57" s="20" t="s">
        <v>191</v>
      </c>
      <c r="U57" s="9"/>
      <c r="V57" s="12"/>
      <c r="W57" s="129"/>
      <c r="X57" s="3" t="str">
        <f>X15</f>
        <v>比赛深蹲</v>
      </c>
      <c r="Y57" s="20" t="s">
        <v>192</v>
      </c>
      <c r="Z57" s="9"/>
      <c r="AA57" s="12"/>
      <c r="AB57" s="129"/>
      <c r="AC57" s="3" t="str">
        <f>AC15</f>
        <v>比赛深蹲</v>
      </c>
      <c r="AD57" s="140" t="s">
        <v>193</v>
      </c>
      <c r="AE57" s="141"/>
      <c r="AF57" s="142"/>
      <c r="AG57" s="143">
        <v>1</v>
      </c>
      <c r="AH57" s="3" t="str">
        <f>AH15</f>
        <v>比赛深蹲</v>
      </c>
      <c r="AI57" s="4" t="s">
        <v>190</v>
      </c>
      <c r="AJ57" s="9"/>
      <c r="AK57" s="20"/>
      <c r="AL57" s="129"/>
      <c r="AM57" s="3" t="str">
        <f>AM15</f>
        <v>比赛深蹲</v>
      </c>
      <c r="AN57" s="4" t="s">
        <v>191</v>
      </c>
      <c r="AO57" s="9"/>
      <c r="AP57" s="20"/>
      <c r="AQ57" s="129"/>
      <c r="AR57" s="3" t="str">
        <f>AR15</f>
        <v>比赛深蹲</v>
      </c>
      <c r="AS57" s="20" t="s">
        <v>192</v>
      </c>
      <c r="AT57" s="9"/>
      <c r="AU57" s="20"/>
      <c r="AV57" s="129"/>
      <c r="AW57" s="3" t="str">
        <f>AW15</f>
        <v>比赛深蹲</v>
      </c>
      <c r="AX57" s="20" t="s">
        <v>194</v>
      </c>
      <c r="AY57" s="9"/>
      <c r="AZ57" s="20"/>
      <c r="BA57" s="129"/>
      <c r="BB57" s="3" t="str">
        <f>BB15</f>
        <v>比赛深蹲</v>
      </c>
      <c r="BC57" s="4" t="s">
        <v>195</v>
      </c>
      <c r="BD57" s="9"/>
      <c r="BE57" s="20"/>
      <c r="BF57" s="129"/>
      <c r="BG57" s="3" t="str">
        <f>BG15</f>
        <v>比赛深蹲</v>
      </c>
      <c r="BH57" s="140" t="s">
        <v>193</v>
      </c>
      <c r="BI57" s="141"/>
      <c r="BJ57" s="142"/>
      <c r="BK57" s="129"/>
    </row>
    <row r="58" spans="2:63">
      <c r="C58" s="72">
        <v>1</v>
      </c>
      <c r="D58" s="144" t="s">
        <v>196</v>
      </c>
      <c r="E58" s="4">
        <f>ROUND($E$4*E15*0.2,0)*5</f>
        <v>240</v>
      </c>
      <c r="F58" s="4">
        <v>6</v>
      </c>
      <c r="G58" s="4" t="s">
        <v>105</v>
      </c>
      <c r="H58" s="129"/>
      <c r="I58" s="145" t="s">
        <v>196</v>
      </c>
      <c r="J58" s="4">
        <f>ROUND($E$4*J15*0.2,0)*5</f>
        <v>255</v>
      </c>
      <c r="K58" s="4">
        <v>5</v>
      </c>
      <c r="L58" s="4" t="s">
        <v>105</v>
      </c>
      <c r="M58" s="129"/>
      <c r="N58" s="145" t="s">
        <v>196</v>
      </c>
      <c r="O58" s="4">
        <f>ROUND($E$4*O15*0.2,0)*5</f>
        <v>275</v>
      </c>
      <c r="P58" s="4">
        <v>4</v>
      </c>
      <c r="Q58" s="4" t="s">
        <v>105</v>
      </c>
      <c r="R58" s="129"/>
      <c r="S58" s="145" t="s">
        <v>196</v>
      </c>
      <c r="T58" s="4">
        <f>ROUND($E$4*T15*0.2,0)*5</f>
        <v>280</v>
      </c>
      <c r="U58" s="4">
        <v>3</v>
      </c>
      <c r="V58" s="4" t="s">
        <v>105</v>
      </c>
      <c r="W58" s="129"/>
      <c r="X58" s="145" t="s">
        <v>196</v>
      </c>
      <c r="Y58" s="4">
        <f>ROUND($E$4*Y15*0.2,0)*5</f>
        <v>290</v>
      </c>
      <c r="Z58" s="4">
        <v>2</v>
      </c>
      <c r="AA58" s="4" t="s">
        <v>106</v>
      </c>
      <c r="AB58" s="129"/>
      <c r="AF58" s="21"/>
      <c r="AG58" s="146">
        <v>1</v>
      </c>
      <c r="AH58" s="147" t="s">
        <v>196</v>
      </c>
      <c r="AI58" s="148">
        <v>0.85</v>
      </c>
      <c r="AJ58" s="4">
        <v>3</v>
      </c>
      <c r="AK58" s="4" t="s">
        <v>107</v>
      </c>
      <c r="AL58" s="129"/>
      <c r="AM58" s="147" t="s">
        <v>196</v>
      </c>
      <c r="AN58" s="148">
        <v>0.85</v>
      </c>
      <c r="AO58" s="4">
        <v>2</v>
      </c>
      <c r="AP58" s="4" t="s">
        <v>107</v>
      </c>
      <c r="AQ58" s="129"/>
      <c r="AR58" s="147" t="s">
        <v>196</v>
      </c>
      <c r="AS58" s="148">
        <v>0.85</v>
      </c>
      <c r="AT58" s="4">
        <v>1</v>
      </c>
      <c r="AU58" s="4" t="s">
        <v>107</v>
      </c>
      <c r="AV58" s="129"/>
      <c r="AW58" s="147" t="s">
        <v>196</v>
      </c>
      <c r="AX58" s="148">
        <v>0.9</v>
      </c>
      <c r="AY58" s="4">
        <v>2</v>
      </c>
      <c r="AZ58" s="4" t="s">
        <v>105</v>
      </c>
      <c r="BA58" s="129"/>
      <c r="BB58" s="147" t="s">
        <v>196</v>
      </c>
      <c r="BC58" s="148">
        <v>0.9</v>
      </c>
      <c r="BD58" s="4">
        <v>1</v>
      </c>
      <c r="BE58" s="4" t="s">
        <v>105</v>
      </c>
      <c r="BF58" s="129"/>
      <c r="BG58" s="149"/>
      <c r="BK58" s="129"/>
    </row>
    <row r="59" spans="2:63">
      <c r="C59" s="72">
        <v>1</v>
      </c>
      <c r="D59" s="150" t="s">
        <v>197</v>
      </c>
      <c r="E59" s="151"/>
      <c r="F59" s="151"/>
      <c r="G59" s="151"/>
      <c r="H59" s="129"/>
      <c r="I59" s="152" t="s">
        <v>197</v>
      </c>
      <c r="J59" s="151"/>
      <c r="K59" s="151"/>
      <c r="L59" s="151"/>
      <c r="M59" s="129"/>
      <c r="N59" s="152" t="s">
        <v>197</v>
      </c>
      <c r="O59" s="151"/>
      <c r="P59" s="151"/>
      <c r="R59" s="129"/>
      <c r="S59" s="152" t="s">
        <v>197</v>
      </c>
      <c r="W59" s="129"/>
      <c r="X59" s="152" t="s">
        <v>197</v>
      </c>
      <c r="AB59" s="129"/>
      <c r="AF59" s="21"/>
      <c r="AG59" s="146">
        <v>1</v>
      </c>
      <c r="AH59" s="153" t="s">
        <v>197</v>
      </c>
      <c r="AI59" s="151"/>
      <c r="AJ59" s="154"/>
      <c r="AK59" s="151"/>
      <c r="AL59" s="129"/>
      <c r="AM59" s="153" t="s">
        <v>197</v>
      </c>
      <c r="AN59" s="151"/>
      <c r="AO59" s="151"/>
      <c r="AP59" s="151"/>
      <c r="AQ59" s="129"/>
      <c r="AR59" s="153" t="s">
        <v>197</v>
      </c>
      <c r="AS59" s="151"/>
      <c r="AT59" s="151"/>
      <c r="AU59" s="151"/>
      <c r="AV59" s="129"/>
      <c r="AW59" s="153" t="s">
        <v>197</v>
      </c>
      <c r="AX59" s="151"/>
      <c r="AY59" s="151"/>
      <c r="AZ59" s="151"/>
      <c r="BA59" s="129"/>
      <c r="BB59" s="153" t="s">
        <v>197</v>
      </c>
      <c r="BC59" s="151"/>
      <c r="BD59" s="151"/>
      <c r="BE59" s="151"/>
      <c r="BF59" s="129"/>
      <c r="BK59" s="129"/>
    </row>
    <row r="60" spans="2:63">
      <c r="C60" s="89" t="s">
        <v>198</v>
      </c>
      <c r="D60" s="17" t="str">
        <f>D37</f>
        <v>超程硬拉</v>
      </c>
      <c r="E60" s="4">
        <f>ROUND($E$6*E$37*0.2,0)*5</f>
        <v>205</v>
      </c>
      <c r="F60" s="4">
        <v>10</v>
      </c>
      <c r="G60" s="4">
        <v>4</v>
      </c>
      <c r="H60" s="129"/>
      <c r="I60" s="3" t="str">
        <f>I37</f>
        <v>超程硬拉</v>
      </c>
      <c r="J60" s="4">
        <f>ROUND($E$6*J$37*0.2,0)*5</f>
        <v>250</v>
      </c>
      <c r="K60" s="4">
        <v>8</v>
      </c>
      <c r="L60" s="4">
        <v>4</v>
      </c>
      <c r="M60" s="129"/>
      <c r="N60" s="3" t="str">
        <f>N37</f>
        <v>超程硬拉</v>
      </c>
      <c r="O60" s="4">
        <f>ROUND($E$6*O$37*0.2,0)*5</f>
        <v>290</v>
      </c>
      <c r="P60" s="4">
        <v>6</v>
      </c>
      <c r="Q60" s="4">
        <v>4</v>
      </c>
      <c r="R60" s="129"/>
      <c r="S60" s="3" t="str">
        <f>S37</f>
        <v>超程硬拉</v>
      </c>
      <c r="T60" s="4">
        <f>ROUND($E$6*T$37*0.2,0)*5</f>
        <v>310</v>
      </c>
      <c r="U60" s="4">
        <v>4</v>
      </c>
      <c r="V60" s="4">
        <v>5</v>
      </c>
      <c r="W60" s="129"/>
      <c r="X60" s="3" t="str">
        <f>X37</f>
        <v>超程硬拉</v>
      </c>
      <c r="Y60" s="4">
        <f>ROUND($E$6*Y$37*0.2,0)*5</f>
        <v>330</v>
      </c>
      <c r="Z60" s="4">
        <v>2</v>
      </c>
      <c r="AA60" s="4">
        <v>7</v>
      </c>
      <c r="AB60" s="129"/>
      <c r="AC60" s="155" t="str">
        <f>AC37</f>
        <v>休息，不做二级辅助</v>
      </c>
      <c r="AF60" s="21"/>
      <c r="AG60" s="156" t="s">
        <v>198</v>
      </c>
      <c r="AH60" s="3" t="str">
        <f>AH37</f>
        <v>超程硬拉</v>
      </c>
      <c r="AI60" s="4">
        <f>ROUND($AI$6*AI$37*0.2,0)*5</f>
        <v>395</v>
      </c>
      <c r="AJ60" s="4">
        <v>6</v>
      </c>
      <c r="AK60" s="4">
        <v>5</v>
      </c>
      <c r="AL60" s="157"/>
      <c r="AM60" s="3" t="str">
        <f>AM37</f>
        <v>超程硬拉</v>
      </c>
      <c r="AN60" s="4">
        <f>ROUND($AI$6*AN$37*0.2,0)*5</f>
        <v>425</v>
      </c>
      <c r="AO60" s="4">
        <v>5</v>
      </c>
      <c r="AP60" s="4">
        <v>5</v>
      </c>
      <c r="AQ60" s="157"/>
      <c r="AR60" s="3" t="str">
        <f>AR37</f>
        <v>超程硬拉</v>
      </c>
      <c r="AS60" s="4">
        <f>ROUND($AI$6*AS$37*0.2,0)*5</f>
        <v>450</v>
      </c>
      <c r="AT60" s="4">
        <v>4</v>
      </c>
      <c r="AU60" s="4">
        <v>5</v>
      </c>
      <c r="AV60" s="157"/>
      <c r="AW60" s="3" t="str">
        <f>AW37</f>
        <v>硬拉</v>
      </c>
      <c r="AX60" s="4">
        <f>ROUND($AI$6*AX$37*0.2,0)*5</f>
        <v>465</v>
      </c>
      <c r="AY60" s="4">
        <v>3</v>
      </c>
      <c r="AZ60" s="4">
        <v>6</v>
      </c>
      <c r="BA60" s="129"/>
      <c r="BB60" s="3" t="str">
        <f>BB37</f>
        <v>硬拉</v>
      </c>
      <c r="BC60" s="4">
        <f>ROUND($AI$6*BC$37*0.2,0)*5</f>
        <v>480</v>
      </c>
      <c r="BD60" s="4">
        <v>2</v>
      </c>
      <c r="BE60" s="4">
        <v>7</v>
      </c>
      <c r="BF60" s="129"/>
      <c r="BK60" s="129"/>
    </row>
    <row r="61" spans="2:63">
      <c r="C61" s="89" t="s">
        <v>199</v>
      </c>
      <c r="D61" s="17" t="s">
        <v>200</v>
      </c>
      <c r="E61" s="93" t="s">
        <v>111</v>
      </c>
      <c r="F61" s="4">
        <v>15</v>
      </c>
      <c r="G61" s="4" t="s">
        <v>201</v>
      </c>
      <c r="H61" s="129"/>
      <c r="I61" s="3" t="s">
        <v>200</v>
      </c>
      <c r="J61" s="93" t="s">
        <v>111</v>
      </c>
      <c r="K61" s="4">
        <v>12</v>
      </c>
      <c r="L61" s="4" t="s">
        <v>201</v>
      </c>
      <c r="M61" s="129"/>
      <c r="N61" s="3" t="s">
        <v>200</v>
      </c>
      <c r="O61" s="93" t="s">
        <v>111</v>
      </c>
      <c r="P61" s="4">
        <v>10</v>
      </c>
      <c r="Q61" s="4" t="s">
        <v>201</v>
      </c>
      <c r="R61" s="129"/>
      <c r="S61" s="3" t="s">
        <v>200</v>
      </c>
      <c r="T61" s="93" t="s">
        <v>111</v>
      </c>
      <c r="U61" s="4">
        <v>8</v>
      </c>
      <c r="V61" s="4" t="s">
        <v>201</v>
      </c>
      <c r="W61" s="129"/>
      <c r="X61" s="3" t="s">
        <v>200</v>
      </c>
      <c r="Y61" s="93" t="s">
        <v>111</v>
      </c>
      <c r="Z61" s="4">
        <v>6</v>
      </c>
      <c r="AA61" s="4" t="s">
        <v>201</v>
      </c>
      <c r="AB61" s="129"/>
      <c r="AC61" s="155"/>
      <c r="AD61" s="93"/>
      <c r="AF61" s="21"/>
      <c r="AG61" s="156"/>
      <c r="AI61" s="93"/>
      <c r="AL61" s="129"/>
      <c r="AQ61" s="129"/>
      <c r="AS61" s="93"/>
      <c r="AV61" s="129"/>
      <c r="BA61" s="129"/>
      <c r="BB61" s="155" t="s">
        <v>202</v>
      </c>
      <c r="BC61" s="93"/>
      <c r="BF61" s="129"/>
      <c r="BG61" s="155" t="s">
        <v>168</v>
      </c>
      <c r="BH61" s="93"/>
      <c r="BK61" s="129"/>
    </row>
    <row r="62" spans="2:63">
      <c r="C62" s="89" t="s">
        <v>203</v>
      </c>
      <c r="D62" s="17" t="s">
        <v>204</v>
      </c>
      <c r="E62" s="4" t="s">
        <v>111</v>
      </c>
      <c r="F62" s="4">
        <v>15</v>
      </c>
      <c r="G62" s="4" t="s">
        <v>201</v>
      </c>
      <c r="H62" s="129"/>
      <c r="I62" s="3" t="s">
        <v>204</v>
      </c>
      <c r="J62" s="4" t="s">
        <v>111</v>
      </c>
      <c r="K62" s="4">
        <v>12</v>
      </c>
      <c r="L62" s="4" t="s">
        <v>201</v>
      </c>
      <c r="M62" s="129"/>
      <c r="N62" s="3" t="s">
        <v>204</v>
      </c>
      <c r="O62" s="4" t="s">
        <v>111</v>
      </c>
      <c r="P62" s="4">
        <v>10</v>
      </c>
      <c r="Q62" s="4" t="s">
        <v>201</v>
      </c>
      <c r="R62" s="129"/>
      <c r="S62" s="3" t="s">
        <v>204</v>
      </c>
      <c r="T62" s="4" t="s">
        <v>111</v>
      </c>
      <c r="U62" s="4">
        <v>8</v>
      </c>
      <c r="V62" s="4" t="s">
        <v>201</v>
      </c>
      <c r="W62" s="129"/>
      <c r="X62" s="3" t="s">
        <v>204</v>
      </c>
      <c r="Y62" s="4" t="s">
        <v>111</v>
      </c>
      <c r="Z62" s="4">
        <v>6</v>
      </c>
      <c r="AA62" s="4" t="s">
        <v>201</v>
      </c>
      <c r="AB62" s="129"/>
      <c r="AF62" s="21"/>
      <c r="AG62" s="156" t="s">
        <v>199</v>
      </c>
      <c r="AH62" s="3" t="s">
        <v>200</v>
      </c>
      <c r="AI62" s="4" t="s">
        <v>111</v>
      </c>
      <c r="AJ62" s="4">
        <v>12</v>
      </c>
      <c r="AK62" s="4" t="s">
        <v>201</v>
      </c>
      <c r="AL62" s="129"/>
      <c r="AM62" s="3" t="s">
        <v>200</v>
      </c>
      <c r="AN62" s="4" t="s">
        <v>111</v>
      </c>
      <c r="AO62" s="4">
        <v>10</v>
      </c>
      <c r="AP62" s="4" t="s">
        <v>201</v>
      </c>
      <c r="AQ62" s="129"/>
      <c r="AR62" s="3" t="s">
        <v>200</v>
      </c>
      <c r="AS62" s="4" t="s">
        <v>111</v>
      </c>
      <c r="AT62" s="4">
        <v>8</v>
      </c>
      <c r="AU62" s="4" t="s">
        <v>201</v>
      </c>
      <c r="AV62" s="129"/>
      <c r="AW62" s="3" t="s">
        <v>200</v>
      </c>
      <c r="AX62" s="4" t="s">
        <v>111</v>
      </c>
      <c r="AY62" s="4">
        <v>6</v>
      </c>
      <c r="AZ62" s="4" t="s">
        <v>201</v>
      </c>
      <c r="BA62" s="129"/>
      <c r="BF62" s="129"/>
      <c r="BG62" s="158" t="s">
        <v>205</v>
      </c>
      <c r="BK62" s="129"/>
    </row>
    <row r="63" spans="2:63">
      <c r="C63" s="159" t="s">
        <v>206</v>
      </c>
      <c r="D63" s="17" t="s">
        <v>207</v>
      </c>
      <c r="E63" s="4" t="s">
        <v>111</v>
      </c>
      <c r="F63" s="4">
        <v>20</v>
      </c>
      <c r="G63" s="4" t="s">
        <v>201</v>
      </c>
      <c r="H63" s="129"/>
      <c r="I63" s="3" t="s">
        <v>207</v>
      </c>
      <c r="J63" s="4" t="s">
        <v>111</v>
      </c>
      <c r="K63" s="4">
        <v>18</v>
      </c>
      <c r="L63" s="4" t="s">
        <v>201</v>
      </c>
      <c r="M63" s="129"/>
      <c r="N63" s="3" t="s">
        <v>207</v>
      </c>
      <c r="O63" s="4" t="s">
        <v>111</v>
      </c>
      <c r="P63" s="4">
        <v>16</v>
      </c>
      <c r="Q63" s="4" t="s">
        <v>201</v>
      </c>
      <c r="R63" s="129"/>
      <c r="S63" s="3" t="s">
        <v>207</v>
      </c>
      <c r="T63" s="4" t="s">
        <v>111</v>
      </c>
      <c r="U63" s="4">
        <v>14</v>
      </c>
      <c r="V63" s="4" t="s">
        <v>201</v>
      </c>
      <c r="W63" s="129"/>
      <c r="X63" s="3" t="s">
        <v>207</v>
      </c>
      <c r="Y63" s="4" t="s">
        <v>111</v>
      </c>
      <c r="Z63" s="4">
        <v>12</v>
      </c>
      <c r="AA63" s="4" t="s">
        <v>201</v>
      </c>
      <c r="AB63" s="129"/>
      <c r="AC63" s="3" t="s">
        <v>207</v>
      </c>
      <c r="AD63" s="4" t="s">
        <v>111</v>
      </c>
      <c r="AE63" s="4">
        <v>10</v>
      </c>
      <c r="AF63" s="21" t="s">
        <v>201</v>
      </c>
      <c r="AG63" s="156" t="s">
        <v>203</v>
      </c>
      <c r="AH63" s="3" t="s">
        <v>204</v>
      </c>
      <c r="AI63" s="4" t="s">
        <v>111</v>
      </c>
      <c r="AJ63" s="4">
        <v>12</v>
      </c>
      <c r="AK63" s="4" t="s">
        <v>201</v>
      </c>
      <c r="AL63" s="129"/>
      <c r="AM63" s="3" t="s">
        <v>204</v>
      </c>
      <c r="AN63" s="4" t="s">
        <v>111</v>
      </c>
      <c r="AO63" s="4">
        <v>10</v>
      </c>
      <c r="AP63" s="4" t="s">
        <v>201</v>
      </c>
      <c r="AQ63" s="129"/>
      <c r="AR63" s="3" t="s">
        <v>204</v>
      </c>
      <c r="AS63" s="4" t="s">
        <v>111</v>
      </c>
      <c r="AT63" s="4">
        <v>8</v>
      </c>
      <c r="AU63" s="4" t="s">
        <v>201</v>
      </c>
      <c r="AV63" s="129"/>
      <c r="AW63" s="3" t="s">
        <v>204</v>
      </c>
      <c r="AX63" s="4" t="s">
        <v>111</v>
      </c>
      <c r="AY63" s="4">
        <v>6</v>
      </c>
      <c r="AZ63" s="4" t="s">
        <v>201</v>
      </c>
      <c r="BA63" s="129"/>
      <c r="BF63" s="129"/>
      <c r="BK63" s="129"/>
    </row>
    <row r="64" spans="2:63">
      <c r="C64" s="159" t="s">
        <v>208</v>
      </c>
      <c r="D64" s="17" t="s">
        <v>113</v>
      </c>
      <c r="E64" s="4" t="s">
        <v>111</v>
      </c>
      <c r="F64" s="4">
        <v>20</v>
      </c>
      <c r="G64" s="4" t="s">
        <v>201</v>
      </c>
      <c r="H64" s="129"/>
      <c r="I64" s="3" t="s">
        <v>113</v>
      </c>
      <c r="J64" s="4" t="s">
        <v>111</v>
      </c>
      <c r="K64" s="4">
        <v>18</v>
      </c>
      <c r="L64" s="4" t="s">
        <v>201</v>
      </c>
      <c r="M64" s="129"/>
      <c r="N64" s="3" t="s">
        <v>113</v>
      </c>
      <c r="O64" s="4" t="s">
        <v>111</v>
      </c>
      <c r="P64" s="4">
        <v>16</v>
      </c>
      <c r="Q64" s="4" t="s">
        <v>201</v>
      </c>
      <c r="R64" s="129"/>
      <c r="S64" s="3" t="s">
        <v>113</v>
      </c>
      <c r="T64" s="4" t="s">
        <v>111</v>
      </c>
      <c r="U64" s="4">
        <v>14</v>
      </c>
      <c r="V64" s="4" t="s">
        <v>201</v>
      </c>
      <c r="W64" s="129"/>
      <c r="X64" s="3" t="s">
        <v>113</v>
      </c>
      <c r="Y64" s="4" t="s">
        <v>111</v>
      </c>
      <c r="Z64" s="4">
        <v>12</v>
      </c>
      <c r="AA64" s="4" t="s">
        <v>201</v>
      </c>
      <c r="AB64" s="129"/>
      <c r="AC64" s="3" t="s">
        <v>113</v>
      </c>
      <c r="AD64" s="4" t="s">
        <v>111</v>
      </c>
      <c r="AE64" s="4">
        <v>10</v>
      </c>
      <c r="AF64" s="21" t="s">
        <v>201</v>
      </c>
      <c r="AG64" s="160" t="s">
        <v>206</v>
      </c>
      <c r="AH64" s="161" t="s">
        <v>209</v>
      </c>
      <c r="AI64" s="162"/>
      <c r="AJ64" s="162"/>
      <c r="AK64" s="163"/>
      <c r="AL64" s="129"/>
      <c r="AM64" s="3" t="s">
        <v>207</v>
      </c>
      <c r="AN64" s="4" t="s">
        <v>111</v>
      </c>
      <c r="AO64" s="4">
        <v>18</v>
      </c>
      <c r="AP64" s="4" t="s">
        <v>201</v>
      </c>
      <c r="AQ64" s="129"/>
      <c r="AR64" s="3" t="s">
        <v>207</v>
      </c>
      <c r="AS64" s="4" t="s">
        <v>111</v>
      </c>
      <c r="AT64" s="4">
        <v>16</v>
      </c>
      <c r="AU64" s="4" t="s">
        <v>201</v>
      </c>
      <c r="AV64" s="129"/>
      <c r="AW64" s="3" t="s">
        <v>207</v>
      </c>
      <c r="AX64" s="4" t="s">
        <v>111</v>
      </c>
      <c r="AY64" s="4">
        <v>14</v>
      </c>
      <c r="AZ64" s="4" t="s">
        <v>201</v>
      </c>
      <c r="BA64" s="129"/>
      <c r="BB64" s="3" t="s">
        <v>207</v>
      </c>
      <c r="BC64" s="4" t="s">
        <v>111</v>
      </c>
      <c r="BD64" s="4">
        <v>12</v>
      </c>
      <c r="BE64" s="4" t="s">
        <v>201</v>
      </c>
      <c r="BF64" s="129"/>
      <c r="BK64" s="129"/>
    </row>
    <row r="65" spans="2:63">
      <c r="C65" s="159" t="s">
        <v>210</v>
      </c>
      <c r="D65" s="17" t="s">
        <v>211</v>
      </c>
      <c r="E65" s="4" t="s">
        <v>111</v>
      </c>
      <c r="F65" s="4">
        <v>20</v>
      </c>
      <c r="G65" s="4" t="s">
        <v>201</v>
      </c>
      <c r="H65" s="129"/>
      <c r="I65" s="3" t="s">
        <v>211</v>
      </c>
      <c r="J65" s="4" t="s">
        <v>111</v>
      </c>
      <c r="K65" s="4">
        <v>18</v>
      </c>
      <c r="L65" s="4" t="s">
        <v>201</v>
      </c>
      <c r="M65" s="129"/>
      <c r="N65" s="3" t="s">
        <v>211</v>
      </c>
      <c r="O65" s="4" t="s">
        <v>111</v>
      </c>
      <c r="P65" s="4">
        <v>16</v>
      </c>
      <c r="Q65" s="4" t="s">
        <v>201</v>
      </c>
      <c r="R65" s="129"/>
      <c r="S65" s="3" t="s">
        <v>211</v>
      </c>
      <c r="T65" s="4" t="s">
        <v>111</v>
      </c>
      <c r="U65" s="4">
        <v>14</v>
      </c>
      <c r="V65" s="4" t="s">
        <v>201</v>
      </c>
      <c r="W65" s="129"/>
      <c r="X65" s="3" t="s">
        <v>211</v>
      </c>
      <c r="Y65" s="4" t="s">
        <v>111</v>
      </c>
      <c r="Z65" s="4">
        <v>12</v>
      </c>
      <c r="AA65" s="4" t="s">
        <v>201</v>
      </c>
      <c r="AB65" s="129"/>
      <c r="AC65" s="3" t="s">
        <v>211</v>
      </c>
      <c r="AD65" s="4" t="s">
        <v>111</v>
      </c>
      <c r="AE65" s="4">
        <v>10</v>
      </c>
      <c r="AF65" s="21" t="s">
        <v>201</v>
      </c>
      <c r="AG65" s="160" t="s">
        <v>208</v>
      </c>
      <c r="AH65" s="164"/>
      <c r="AI65" s="165"/>
      <c r="AJ65" s="166"/>
      <c r="AK65" s="167"/>
      <c r="AL65" s="129"/>
      <c r="AM65" s="3" t="s">
        <v>113</v>
      </c>
      <c r="AN65" s="4" t="s">
        <v>111</v>
      </c>
      <c r="AO65" s="4">
        <v>18</v>
      </c>
      <c r="AP65" s="4" t="s">
        <v>201</v>
      </c>
      <c r="AQ65" s="129"/>
      <c r="AR65" s="3" t="s">
        <v>113</v>
      </c>
      <c r="AS65" s="4" t="s">
        <v>111</v>
      </c>
      <c r="AT65" s="4">
        <v>16</v>
      </c>
      <c r="AU65" s="4" t="s">
        <v>201</v>
      </c>
      <c r="AV65" s="129"/>
      <c r="AW65" s="3" t="s">
        <v>113</v>
      </c>
      <c r="AX65" s="4" t="s">
        <v>111</v>
      </c>
      <c r="AY65" s="4">
        <v>14</v>
      </c>
      <c r="AZ65" s="4" t="s">
        <v>201</v>
      </c>
      <c r="BA65" s="129"/>
      <c r="BB65" s="3" t="s">
        <v>113</v>
      </c>
      <c r="BC65" s="4" t="s">
        <v>111</v>
      </c>
      <c r="BD65" s="4">
        <v>12</v>
      </c>
      <c r="BE65" s="4" t="s">
        <v>201</v>
      </c>
      <c r="BF65" s="129"/>
      <c r="BK65" s="129"/>
    </row>
    <row r="66" spans="2:63">
      <c r="C66" s="159" t="s">
        <v>212</v>
      </c>
      <c r="D66" s="17" t="s">
        <v>112</v>
      </c>
      <c r="E66" s="4" t="s">
        <v>111</v>
      </c>
      <c r="F66" s="4">
        <v>20</v>
      </c>
      <c r="G66" s="4" t="s">
        <v>201</v>
      </c>
      <c r="H66" s="129"/>
      <c r="I66" s="3" t="s">
        <v>112</v>
      </c>
      <c r="J66" s="4" t="s">
        <v>111</v>
      </c>
      <c r="K66" s="4">
        <v>18</v>
      </c>
      <c r="L66" s="4" t="s">
        <v>201</v>
      </c>
      <c r="M66" s="129"/>
      <c r="N66" s="3" t="s">
        <v>112</v>
      </c>
      <c r="O66" s="4" t="s">
        <v>111</v>
      </c>
      <c r="P66" s="4">
        <v>16</v>
      </c>
      <c r="Q66" s="4" t="s">
        <v>201</v>
      </c>
      <c r="R66" s="129"/>
      <c r="S66" s="3" t="s">
        <v>112</v>
      </c>
      <c r="T66" s="4" t="s">
        <v>111</v>
      </c>
      <c r="U66" s="4">
        <v>14</v>
      </c>
      <c r="V66" s="4" t="s">
        <v>201</v>
      </c>
      <c r="W66" s="129"/>
      <c r="X66" s="3" t="s">
        <v>112</v>
      </c>
      <c r="Y66" s="4" t="s">
        <v>111</v>
      </c>
      <c r="Z66" s="4">
        <v>12</v>
      </c>
      <c r="AA66" s="4" t="s">
        <v>201</v>
      </c>
      <c r="AB66" s="129"/>
      <c r="AC66" s="3" t="s">
        <v>112</v>
      </c>
      <c r="AD66" s="4" t="s">
        <v>111</v>
      </c>
      <c r="AE66" s="4">
        <v>10</v>
      </c>
      <c r="AF66" s="21" t="s">
        <v>201</v>
      </c>
      <c r="AG66" s="160" t="s">
        <v>210</v>
      </c>
      <c r="AH66" s="168"/>
      <c r="AI66" s="169"/>
      <c r="AJ66" s="170"/>
      <c r="AK66" s="171"/>
      <c r="AL66" s="129"/>
      <c r="AM66" s="3" t="s">
        <v>211</v>
      </c>
      <c r="AN66" s="4" t="s">
        <v>111</v>
      </c>
      <c r="AO66" s="4">
        <v>18</v>
      </c>
      <c r="AP66" s="4" t="s">
        <v>201</v>
      </c>
      <c r="AQ66" s="129"/>
      <c r="AR66" s="3" t="s">
        <v>211</v>
      </c>
      <c r="AS66" s="4" t="s">
        <v>111</v>
      </c>
      <c r="AT66" s="4">
        <v>16</v>
      </c>
      <c r="AU66" s="4" t="s">
        <v>201</v>
      </c>
      <c r="AV66" s="129"/>
      <c r="AW66" s="3" t="s">
        <v>211</v>
      </c>
      <c r="AX66" s="4" t="s">
        <v>111</v>
      </c>
      <c r="AY66" s="4">
        <v>14</v>
      </c>
      <c r="AZ66" s="4" t="s">
        <v>201</v>
      </c>
      <c r="BA66" s="129"/>
      <c r="BB66" s="3" t="s">
        <v>211</v>
      </c>
      <c r="BC66" s="4" t="s">
        <v>111</v>
      </c>
      <c r="BD66" s="4">
        <v>12</v>
      </c>
      <c r="BE66" s="4" t="s">
        <v>201</v>
      </c>
      <c r="BF66" s="129"/>
      <c r="BK66" s="129"/>
    </row>
    <row r="67" spans="2:63">
      <c r="B67" s="172"/>
      <c r="C67" s="117"/>
      <c r="D67" s="118" t="s">
        <v>161</v>
      </c>
      <c r="E67" s="173"/>
      <c r="F67" s="173"/>
      <c r="G67" s="173"/>
      <c r="H67" s="129"/>
      <c r="I67" s="121" t="s">
        <v>161</v>
      </c>
      <c r="J67" s="173"/>
      <c r="K67" s="173"/>
      <c r="L67" s="173"/>
      <c r="M67" s="129"/>
      <c r="N67" s="121" t="s">
        <v>161</v>
      </c>
      <c r="O67" s="173"/>
      <c r="P67" s="173"/>
      <c r="Q67" s="173"/>
      <c r="R67" s="129"/>
      <c r="S67" s="121" t="s">
        <v>161</v>
      </c>
      <c r="T67" s="173"/>
      <c r="U67" s="173"/>
      <c r="V67" s="173"/>
      <c r="W67" s="129"/>
      <c r="X67" s="121" t="s">
        <v>161</v>
      </c>
      <c r="Y67" s="173"/>
      <c r="Z67" s="173"/>
      <c r="AA67" s="173"/>
      <c r="AB67" s="129"/>
      <c r="AC67" s="121" t="s">
        <v>161</v>
      </c>
      <c r="AD67" s="173"/>
      <c r="AE67" s="173"/>
      <c r="AF67" s="174"/>
      <c r="AG67" s="124"/>
      <c r="AH67" s="121" t="s">
        <v>161</v>
      </c>
      <c r="AI67" s="173"/>
      <c r="AJ67" s="173"/>
      <c r="AK67" s="173"/>
      <c r="AL67" s="129"/>
      <c r="AM67" s="121" t="s">
        <v>161</v>
      </c>
      <c r="AN67" s="173"/>
      <c r="AO67" s="173"/>
      <c r="AP67" s="173"/>
      <c r="AQ67" s="129"/>
      <c r="AR67" s="121" t="s">
        <v>161</v>
      </c>
      <c r="AS67" s="173"/>
      <c r="AT67" s="173"/>
      <c r="AU67" s="173"/>
      <c r="AV67" s="129"/>
      <c r="AW67" s="121" t="s">
        <v>161</v>
      </c>
      <c r="AX67" s="173"/>
      <c r="AY67" s="173"/>
      <c r="AZ67" s="173"/>
      <c r="BA67" s="129"/>
      <c r="BB67" s="121" t="s">
        <v>161</v>
      </c>
      <c r="BC67" s="173"/>
      <c r="BD67" s="173"/>
      <c r="BE67" s="173"/>
      <c r="BF67" s="129"/>
      <c r="BG67" s="121" t="s">
        <v>161</v>
      </c>
      <c r="BH67" s="173"/>
      <c r="BI67" s="173"/>
      <c r="BJ67" s="173"/>
      <c r="BK67" s="129"/>
    </row>
    <row r="68" spans="2:63">
      <c r="B68" s="175"/>
      <c r="C68" s="134" t="s">
        <v>128</v>
      </c>
      <c r="D68" s="135" t="s">
        <v>99</v>
      </c>
      <c r="E68" s="136" t="s">
        <v>100</v>
      </c>
      <c r="F68" s="136" t="s">
        <v>101</v>
      </c>
      <c r="G68" s="136" t="s">
        <v>102</v>
      </c>
      <c r="H68" s="129"/>
      <c r="I68" s="137" t="s">
        <v>99</v>
      </c>
      <c r="J68" s="136" t="s">
        <v>100</v>
      </c>
      <c r="K68" s="136" t="s">
        <v>101</v>
      </c>
      <c r="L68" s="136" t="s">
        <v>102</v>
      </c>
      <c r="M68" s="129"/>
      <c r="N68" s="137" t="s">
        <v>99</v>
      </c>
      <c r="O68" s="136" t="s">
        <v>100</v>
      </c>
      <c r="P68" s="136" t="s">
        <v>101</v>
      </c>
      <c r="Q68" s="136" t="s">
        <v>102</v>
      </c>
      <c r="R68" s="129"/>
      <c r="S68" s="137" t="s">
        <v>99</v>
      </c>
      <c r="T68" s="136" t="s">
        <v>100</v>
      </c>
      <c r="U68" s="136" t="s">
        <v>101</v>
      </c>
      <c r="V68" s="136" t="s">
        <v>102</v>
      </c>
      <c r="W68" s="129"/>
      <c r="X68" s="137" t="s">
        <v>99</v>
      </c>
      <c r="Y68" s="136" t="s">
        <v>100</v>
      </c>
      <c r="Z68" s="136" t="s">
        <v>101</v>
      </c>
      <c r="AA68" s="136" t="s">
        <v>102</v>
      </c>
      <c r="AB68" s="129"/>
      <c r="AC68" s="137" t="s">
        <v>99</v>
      </c>
      <c r="AD68" s="136" t="s">
        <v>100</v>
      </c>
      <c r="AE68" s="136" t="s">
        <v>101</v>
      </c>
      <c r="AF68" s="138" t="s">
        <v>102</v>
      </c>
      <c r="AG68" s="139" t="s">
        <v>128</v>
      </c>
      <c r="AH68" s="137" t="s">
        <v>99</v>
      </c>
      <c r="AI68" s="136" t="s">
        <v>100</v>
      </c>
      <c r="AJ68" s="136" t="s">
        <v>101</v>
      </c>
      <c r="AK68" s="136" t="s">
        <v>102</v>
      </c>
      <c r="AL68" s="129"/>
      <c r="AM68" s="137" t="s">
        <v>99</v>
      </c>
      <c r="AN68" s="136" t="s">
        <v>100</v>
      </c>
      <c r="AO68" s="136" t="s">
        <v>101</v>
      </c>
      <c r="AP68" s="136" t="s">
        <v>102</v>
      </c>
      <c r="AQ68" s="129"/>
      <c r="AR68" s="137" t="s">
        <v>99</v>
      </c>
      <c r="AS68" s="136" t="s">
        <v>100</v>
      </c>
      <c r="AT68" s="136" t="s">
        <v>101</v>
      </c>
      <c r="AU68" s="136" t="s">
        <v>102</v>
      </c>
      <c r="AV68" s="129"/>
      <c r="AW68" s="137" t="s">
        <v>99</v>
      </c>
      <c r="AX68" s="136" t="s">
        <v>100</v>
      </c>
      <c r="AY68" s="136" t="s">
        <v>101</v>
      </c>
      <c r="AZ68" s="136" t="s">
        <v>102</v>
      </c>
      <c r="BA68" s="129"/>
      <c r="BB68" s="137" t="s">
        <v>99</v>
      </c>
      <c r="BC68" s="136" t="s">
        <v>100</v>
      </c>
      <c r="BD68" s="136" t="s">
        <v>101</v>
      </c>
      <c r="BE68" s="136" t="s">
        <v>102</v>
      </c>
      <c r="BF68" s="129"/>
      <c r="BG68" s="137" t="s">
        <v>99</v>
      </c>
      <c r="BH68" s="136" t="s">
        <v>100</v>
      </c>
      <c r="BI68" s="136" t="s">
        <v>101</v>
      </c>
      <c r="BJ68" s="136" t="s">
        <v>102</v>
      </c>
      <c r="BK68" s="129"/>
    </row>
    <row r="69" spans="2:63">
      <c r="B69" s="175"/>
      <c r="C69" s="72">
        <v>1</v>
      </c>
      <c r="D69" s="17" t="str">
        <f>D18</f>
        <v>卧推</v>
      </c>
      <c r="E69" s="20" t="s">
        <v>188</v>
      </c>
      <c r="F69" s="9"/>
      <c r="G69" s="12"/>
      <c r="H69" s="129"/>
      <c r="I69" s="3" t="str">
        <f>I18</f>
        <v>卧推</v>
      </c>
      <c r="J69" s="20" t="s">
        <v>189</v>
      </c>
      <c r="K69" s="9"/>
      <c r="L69" s="12"/>
      <c r="M69" s="129"/>
      <c r="N69" s="3" t="str">
        <f>N18</f>
        <v>卧推</v>
      </c>
      <c r="O69" s="20" t="s">
        <v>190</v>
      </c>
      <c r="P69" s="9"/>
      <c r="Q69" s="12"/>
      <c r="R69" s="129"/>
      <c r="S69" s="3" t="str">
        <f>S18</f>
        <v>卧推</v>
      </c>
      <c r="T69" s="20" t="s">
        <v>191</v>
      </c>
      <c r="U69" s="9"/>
      <c r="V69" s="12"/>
      <c r="W69" s="129"/>
      <c r="X69" s="3" t="str">
        <f>X18</f>
        <v>卧推</v>
      </c>
      <c r="Y69" s="20" t="s">
        <v>192</v>
      </c>
      <c r="Z69" s="9"/>
      <c r="AA69" s="12"/>
      <c r="AB69" s="129"/>
      <c r="AC69" s="3" t="str">
        <f>AC18</f>
        <v>卧推</v>
      </c>
      <c r="AD69" s="140" t="s">
        <v>193</v>
      </c>
      <c r="AE69" s="141"/>
      <c r="AF69" s="142"/>
      <c r="AG69" s="143">
        <v>1</v>
      </c>
      <c r="AH69" s="3" t="str">
        <f>AH18</f>
        <v>卧推</v>
      </c>
      <c r="AI69" s="4" t="s">
        <v>190</v>
      </c>
      <c r="AJ69" s="9"/>
      <c r="AK69" s="20"/>
      <c r="AL69" s="129"/>
      <c r="AM69" s="3" t="str">
        <f>AM18</f>
        <v>卧推</v>
      </c>
      <c r="AN69" s="4" t="s">
        <v>191</v>
      </c>
      <c r="AO69" s="9"/>
      <c r="AP69" s="20"/>
      <c r="AQ69" s="129"/>
      <c r="AR69" s="3" t="str">
        <f>AR18</f>
        <v>卧推</v>
      </c>
      <c r="AS69" s="20" t="s">
        <v>192</v>
      </c>
      <c r="AT69" s="9"/>
      <c r="AU69" s="20"/>
      <c r="AV69" s="129"/>
      <c r="AW69" s="3" t="str">
        <f>AW18</f>
        <v>卧推</v>
      </c>
      <c r="AX69" s="20" t="s">
        <v>194</v>
      </c>
      <c r="AY69" s="9"/>
      <c r="AZ69" s="20"/>
      <c r="BA69" s="129"/>
      <c r="BB69" s="3" t="str">
        <f>BB18</f>
        <v>卧推</v>
      </c>
      <c r="BC69" s="4" t="s">
        <v>195</v>
      </c>
      <c r="BD69" s="9"/>
      <c r="BE69" s="20"/>
      <c r="BF69" s="129"/>
      <c r="BG69" s="3" t="str">
        <f>BG18</f>
        <v>卧推</v>
      </c>
      <c r="BH69" s="140" t="s">
        <v>193</v>
      </c>
      <c r="BI69" s="141"/>
      <c r="BJ69" s="142"/>
      <c r="BK69" s="129"/>
    </row>
    <row r="70" spans="2:63">
      <c r="C70" s="72">
        <v>1</v>
      </c>
      <c r="D70" s="144" t="s">
        <v>196</v>
      </c>
      <c r="E70" s="4">
        <f>ROUND($E$5*E18*0.2,0)*5</f>
        <v>140</v>
      </c>
      <c r="F70" s="4">
        <v>6</v>
      </c>
      <c r="G70" s="4" t="s">
        <v>105</v>
      </c>
      <c r="H70" s="129"/>
      <c r="I70" s="145" t="s">
        <v>196</v>
      </c>
      <c r="J70" s="4">
        <f>ROUND($E$5*J18*0.2,0)*5</f>
        <v>150</v>
      </c>
      <c r="K70" s="4">
        <v>5</v>
      </c>
      <c r="L70" s="4" t="s">
        <v>105</v>
      </c>
      <c r="M70" s="129"/>
      <c r="N70" s="145" t="s">
        <v>196</v>
      </c>
      <c r="O70" s="4">
        <f>ROUND($E$5*O18*0.2,0)*5</f>
        <v>160</v>
      </c>
      <c r="P70" s="4">
        <v>4</v>
      </c>
      <c r="Q70" s="4" t="s">
        <v>105</v>
      </c>
      <c r="R70" s="129"/>
      <c r="S70" s="145" t="s">
        <v>196</v>
      </c>
      <c r="T70" s="4">
        <f>ROUND($E$5*T18*0.2,0)*5</f>
        <v>165</v>
      </c>
      <c r="U70" s="4">
        <v>3</v>
      </c>
      <c r="V70" s="4" t="s">
        <v>105</v>
      </c>
      <c r="W70" s="129"/>
      <c r="X70" s="145" t="s">
        <v>196</v>
      </c>
      <c r="Y70" s="4">
        <f>ROUND($E$5*Y18*0.2,0)*5</f>
        <v>175</v>
      </c>
      <c r="Z70" s="4">
        <v>2</v>
      </c>
      <c r="AA70" s="4" t="s">
        <v>106</v>
      </c>
      <c r="AB70" s="129"/>
      <c r="AF70" s="21"/>
      <c r="AG70" s="146">
        <v>1</v>
      </c>
      <c r="AH70" s="147" t="s">
        <v>196</v>
      </c>
      <c r="AI70" s="148">
        <v>0.85</v>
      </c>
      <c r="AJ70" s="4">
        <v>3</v>
      </c>
      <c r="AK70" s="4" t="s">
        <v>107</v>
      </c>
      <c r="AL70" s="129"/>
      <c r="AM70" s="147" t="s">
        <v>196</v>
      </c>
      <c r="AN70" s="148">
        <v>0.85</v>
      </c>
      <c r="AO70" s="4">
        <v>2</v>
      </c>
      <c r="AP70" s="4" t="s">
        <v>107</v>
      </c>
      <c r="AQ70" s="129"/>
      <c r="AR70" s="147" t="s">
        <v>196</v>
      </c>
      <c r="AS70" s="148">
        <v>0.85</v>
      </c>
      <c r="AT70" s="4">
        <v>1</v>
      </c>
      <c r="AU70" s="4" t="s">
        <v>107</v>
      </c>
      <c r="AV70" s="129"/>
      <c r="AW70" s="147" t="s">
        <v>196</v>
      </c>
      <c r="AX70" s="148">
        <v>0.9</v>
      </c>
      <c r="AY70" s="4">
        <v>2</v>
      </c>
      <c r="AZ70" s="4" t="s">
        <v>105</v>
      </c>
      <c r="BA70" s="129"/>
      <c r="BB70" s="147" t="s">
        <v>196</v>
      </c>
      <c r="BC70" s="148">
        <v>0.9</v>
      </c>
      <c r="BD70" s="4">
        <v>1</v>
      </c>
      <c r="BE70" s="4" t="s">
        <v>105</v>
      </c>
      <c r="BF70" s="129"/>
      <c r="BG70" s="149"/>
      <c r="BK70" s="129"/>
    </row>
    <row r="71" spans="2:63">
      <c r="C71" s="72">
        <v>1</v>
      </c>
      <c r="D71" s="150" t="s">
        <v>197</v>
      </c>
      <c r="E71" s="151"/>
      <c r="F71" s="151"/>
      <c r="G71" s="151"/>
      <c r="H71" s="129"/>
      <c r="I71" s="152" t="s">
        <v>197</v>
      </c>
      <c r="J71" s="151"/>
      <c r="K71" s="151"/>
      <c r="L71" s="151"/>
      <c r="M71" s="129"/>
      <c r="N71" s="152" t="s">
        <v>197</v>
      </c>
      <c r="O71" s="151"/>
      <c r="P71" s="151"/>
      <c r="R71" s="129"/>
      <c r="S71" s="152" t="s">
        <v>197</v>
      </c>
      <c r="W71" s="129"/>
      <c r="X71" s="152" t="s">
        <v>197</v>
      </c>
      <c r="AB71" s="129"/>
      <c r="AF71" s="21"/>
      <c r="AG71" s="146">
        <v>1</v>
      </c>
      <c r="AH71" s="153" t="s">
        <v>197</v>
      </c>
      <c r="AI71" s="151"/>
      <c r="AJ71" s="151"/>
      <c r="AK71" s="151"/>
      <c r="AL71" s="129"/>
      <c r="AM71" s="153" t="s">
        <v>197</v>
      </c>
      <c r="AN71" s="151"/>
      <c r="AO71" s="151"/>
      <c r="AP71" s="151"/>
      <c r="AQ71" s="129"/>
      <c r="AR71" s="153" t="s">
        <v>197</v>
      </c>
      <c r="AS71" s="151"/>
      <c r="AT71" s="151"/>
      <c r="AU71" s="151"/>
      <c r="AV71" s="129"/>
      <c r="AW71" s="153" t="s">
        <v>197</v>
      </c>
      <c r="AX71" s="151"/>
      <c r="AY71" s="151"/>
      <c r="AZ71" s="151"/>
      <c r="BA71" s="129"/>
      <c r="BB71" s="153" t="s">
        <v>197</v>
      </c>
      <c r="BC71" s="151"/>
      <c r="BD71" s="151"/>
      <c r="BE71" s="151"/>
      <c r="BF71" s="129"/>
      <c r="BK71" s="129"/>
    </row>
    <row r="72" spans="2:63">
      <c r="C72" s="89" t="s">
        <v>198</v>
      </c>
      <c r="D72" s="17" t="str">
        <f>D39</f>
        <v>窄距卧推</v>
      </c>
      <c r="E72" s="4">
        <f>ROUND($E$5*E$39*0.2,0)*5</f>
        <v>110</v>
      </c>
      <c r="F72" s="4">
        <v>10</v>
      </c>
      <c r="G72" s="4">
        <v>4</v>
      </c>
      <c r="H72" s="129"/>
      <c r="I72" s="3" t="str">
        <f>I39</f>
        <v>窄距卧推</v>
      </c>
      <c r="J72" s="4">
        <f>ROUND($E$5*J$39*0.2,0)*5</f>
        <v>120</v>
      </c>
      <c r="K72" s="4">
        <v>8</v>
      </c>
      <c r="L72" s="4">
        <v>4</v>
      </c>
      <c r="M72" s="129"/>
      <c r="N72" s="3" t="str">
        <f>N39</f>
        <v>窄距卧推</v>
      </c>
      <c r="O72" s="4">
        <f>ROUND($E$5*O$39*0.2,0)*5</f>
        <v>130</v>
      </c>
      <c r="P72" s="4">
        <v>6</v>
      </c>
      <c r="Q72" s="4">
        <v>4</v>
      </c>
      <c r="R72" s="129"/>
      <c r="S72" s="3" t="str">
        <f>S39</f>
        <v>窄距卧推</v>
      </c>
      <c r="T72" s="4">
        <f>ROUND($E$5*T$39*0.2,0)*5</f>
        <v>135</v>
      </c>
      <c r="U72" s="4">
        <v>4</v>
      </c>
      <c r="V72" s="4">
        <v>5</v>
      </c>
      <c r="W72" s="129"/>
      <c r="X72" s="3" t="str">
        <f>X39</f>
        <v>窄距卧推</v>
      </c>
      <c r="Y72" s="4">
        <f>ROUND($E$5*Y$39*0.2,0)*5</f>
        <v>140</v>
      </c>
      <c r="Z72" s="4">
        <v>2</v>
      </c>
      <c r="AA72" s="4">
        <v>7</v>
      </c>
      <c r="AB72" s="129"/>
      <c r="AC72" s="155" t="str">
        <f>AC39</f>
        <v>休息，不做二级辅助</v>
      </c>
      <c r="AF72" s="21"/>
      <c r="AG72" s="156" t="s">
        <v>198</v>
      </c>
      <c r="AH72" s="3" t="str">
        <f>AH39</f>
        <v>窄距卧推</v>
      </c>
      <c r="AI72" s="4">
        <f>ROUND($AI$5*AI$39*0.2,0)*5</f>
        <v>230</v>
      </c>
      <c r="AJ72" s="4">
        <v>6</v>
      </c>
      <c r="AK72" s="4">
        <v>5</v>
      </c>
      <c r="AL72" s="157"/>
      <c r="AM72" s="3" t="str">
        <f>AM39</f>
        <v>窄距卧推</v>
      </c>
      <c r="AN72" s="4">
        <f>ROUND($AI$5*AN$39*0.2,0)*5</f>
        <v>245</v>
      </c>
      <c r="AO72" s="4">
        <v>5</v>
      </c>
      <c r="AP72" s="4">
        <v>5</v>
      </c>
      <c r="AQ72" s="157"/>
      <c r="AR72" s="3" t="str">
        <f>AR39</f>
        <v>窄距卧推</v>
      </c>
      <c r="AS72" s="4">
        <f>ROUND($AI$5*AS$39*0.2,0)*5</f>
        <v>260</v>
      </c>
      <c r="AT72" s="4">
        <v>4</v>
      </c>
      <c r="AU72" s="4">
        <v>5</v>
      </c>
      <c r="AV72" s="157"/>
      <c r="AW72" s="3" t="str">
        <f>AW39</f>
        <v>窄距卧推</v>
      </c>
      <c r="AX72" s="4">
        <f>ROUND($AI$5*AX$39*0.2,0)*5</f>
        <v>270</v>
      </c>
      <c r="AY72" s="4">
        <v>3</v>
      </c>
      <c r="AZ72" s="4">
        <v>6</v>
      </c>
      <c r="BA72" s="129"/>
      <c r="BB72" s="3" t="str">
        <f>BB39</f>
        <v>窄距卧推</v>
      </c>
      <c r="BC72" s="4">
        <f>ROUND($AI$5*BC$39*0.2,0)*5</f>
        <v>275</v>
      </c>
      <c r="BD72" s="4">
        <v>2</v>
      </c>
      <c r="BE72" s="4">
        <v>7</v>
      </c>
      <c r="BF72" s="129"/>
      <c r="BG72" s="3" t="str">
        <f>BG39</f>
        <v>窄距卧推</v>
      </c>
      <c r="BH72" s="140" t="s">
        <v>193</v>
      </c>
      <c r="BI72" s="141"/>
      <c r="BJ72" s="142"/>
      <c r="BK72" s="129"/>
    </row>
    <row r="73" spans="2:63">
      <c r="C73" s="89" t="s">
        <v>199</v>
      </c>
      <c r="D73" s="17" t="s">
        <v>29</v>
      </c>
      <c r="E73" s="93" t="s">
        <v>111</v>
      </c>
      <c r="F73" s="4">
        <v>15</v>
      </c>
      <c r="G73" s="4" t="s">
        <v>201</v>
      </c>
      <c r="H73" s="129"/>
      <c r="I73" s="3" t="s">
        <v>29</v>
      </c>
      <c r="J73" s="93" t="s">
        <v>111</v>
      </c>
      <c r="K73" s="4">
        <v>12</v>
      </c>
      <c r="L73" s="4" t="s">
        <v>201</v>
      </c>
      <c r="M73" s="129"/>
      <c r="N73" s="3" t="s">
        <v>29</v>
      </c>
      <c r="O73" s="93" t="s">
        <v>111</v>
      </c>
      <c r="P73" s="4">
        <v>10</v>
      </c>
      <c r="Q73" s="4" t="s">
        <v>201</v>
      </c>
      <c r="R73" s="129"/>
      <c r="S73" s="3" t="s">
        <v>29</v>
      </c>
      <c r="T73" s="93" t="s">
        <v>111</v>
      </c>
      <c r="U73" s="4">
        <v>8</v>
      </c>
      <c r="V73" s="4" t="s">
        <v>201</v>
      </c>
      <c r="W73" s="129"/>
      <c r="X73" s="3" t="s">
        <v>29</v>
      </c>
      <c r="Y73" s="93" t="s">
        <v>111</v>
      </c>
      <c r="Z73" s="4">
        <v>6</v>
      </c>
      <c r="AA73" s="4" t="s">
        <v>201</v>
      </c>
      <c r="AB73" s="129"/>
      <c r="AC73" s="155"/>
      <c r="AD73" s="93"/>
      <c r="AF73" s="21"/>
      <c r="AG73" s="156"/>
      <c r="AI73" s="93"/>
      <c r="AL73" s="129"/>
      <c r="AQ73" s="129"/>
      <c r="AS73" s="93"/>
      <c r="AV73" s="129"/>
      <c r="BA73" s="129"/>
      <c r="BB73" s="155" t="s">
        <v>202</v>
      </c>
      <c r="BC73" s="93"/>
      <c r="BF73" s="129"/>
      <c r="BG73" s="155" t="s">
        <v>168</v>
      </c>
      <c r="BH73" s="93"/>
      <c r="BK73" s="129"/>
    </row>
    <row r="74" spans="2:63">
      <c r="C74" s="89" t="s">
        <v>203</v>
      </c>
      <c r="D74" s="17" t="s">
        <v>116</v>
      </c>
      <c r="E74" s="4" t="s">
        <v>111</v>
      </c>
      <c r="F74" s="4">
        <v>15</v>
      </c>
      <c r="G74" s="4" t="s">
        <v>201</v>
      </c>
      <c r="H74" s="129"/>
      <c r="I74" s="3" t="s">
        <v>116</v>
      </c>
      <c r="J74" s="4" t="s">
        <v>111</v>
      </c>
      <c r="K74" s="4">
        <v>12</v>
      </c>
      <c r="L74" s="4" t="s">
        <v>201</v>
      </c>
      <c r="M74" s="129"/>
      <c r="N74" s="3" t="s">
        <v>116</v>
      </c>
      <c r="O74" s="4" t="s">
        <v>111</v>
      </c>
      <c r="P74" s="4">
        <v>10</v>
      </c>
      <c r="Q74" s="4" t="s">
        <v>201</v>
      </c>
      <c r="R74" s="129"/>
      <c r="S74" s="3" t="s">
        <v>116</v>
      </c>
      <c r="T74" s="4" t="s">
        <v>111</v>
      </c>
      <c r="U74" s="4">
        <v>8</v>
      </c>
      <c r="V74" s="4" t="s">
        <v>201</v>
      </c>
      <c r="W74" s="129"/>
      <c r="X74" s="3" t="s">
        <v>116</v>
      </c>
      <c r="Y74" s="4" t="s">
        <v>111</v>
      </c>
      <c r="Z74" s="4">
        <v>6</v>
      </c>
      <c r="AA74" s="4" t="s">
        <v>201</v>
      </c>
      <c r="AB74" s="129"/>
      <c r="AF74" s="21"/>
      <c r="AG74" s="156" t="s">
        <v>199</v>
      </c>
      <c r="AH74" s="3" t="s">
        <v>29</v>
      </c>
      <c r="AI74" s="4" t="s">
        <v>111</v>
      </c>
      <c r="AJ74" s="4">
        <v>12</v>
      </c>
      <c r="AK74" s="4" t="s">
        <v>201</v>
      </c>
      <c r="AL74" s="129"/>
      <c r="AM74" s="3" t="s">
        <v>29</v>
      </c>
      <c r="AN74" s="4" t="s">
        <v>111</v>
      </c>
      <c r="AO74" s="4">
        <v>10</v>
      </c>
      <c r="AP74" s="4" t="s">
        <v>201</v>
      </c>
      <c r="AQ74" s="129"/>
      <c r="AR74" s="3" t="s">
        <v>29</v>
      </c>
      <c r="AS74" s="4" t="s">
        <v>111</v>
      </c>
      <c r="AT74" s="4">
        <v>8</v>
      </c>
      <c r="AU74" s="4" t="s">
        <v>201</v>
      </c>
      <c r="AV74" s="129"/>
      <c r="AW74" s="3" t="s">
        <v>29</v>
      </c>
      <c r="AX74" s="4" t="s">
        <v>111</v>
      </c>
      <c r="AY74" s="4">
        <v>6</v>
      </c>
      <c r="AZ74" s="4" t="s">
        <v>201</v>
      </c>
      <c r="BA74" s="129"/>
      <c r="BF74" s="129"/>
      <c r="BG74" s="158" t="s">
        <v>205</v>
      </c>
      <c r="BK74" s="129"/>
    </row>
    <row r="75" spans="2:63">
      <c r="C75" s="159" t="s">
        <v>206</v>
      </c>
      <c r="D75" s="17" t="s">
        <v>213</v>
      </c>
      <c r="E75" s="4" t="s">
        <v>111</v>
      </c>
      <c r="F75" s="4">
        <v>20</v>
      </c>
      <c r="G75" s="4" t="s">
        <v>201</v>
      </c>
      <c r="H75" s="129"/>
      <c r="I75" s="3" t="s">
        <v>213</v>
      </c>
      <c r="J75" s="4" t="s">
        <v>111</v>
      </c>
      <c r="K75" s="4">
        <v>18</v>
      </c>
      <c r="L75" s="4" t="s">
        <v>201</v>
      </c>
      <c r="M75" s="129"/>
      <c r="N75" s="3" t="s">
        <v>213</v>
      </c>
      <c r="O75" s="4" t="s">
        <v>111</v>
      </c>
      <c r="P75" s="4">
        <v>16</v>
      </c>
      <c r="Q75" s="4" t="s">
        <v>201</v>
      </c>
      <c r="R75" s="129"/>
      <c r="S75" s="3" t="s">
        <v>213</v>
      </c>
      <c r="T75" s="4" t="s">
        <v>111</v>
      </c>
      <c r="U75" s="4">
        <v>14</v>
      </c>
      <c r="V75" s="4" t="s">
        <v>201</v>
      </c>
      <c r="W75" s="129"/>
      <c r="X75" s="3" t="s">
        <v>213</v>
      </c>
      <c r="Y75" s="4" t="s">
        <v>111</v>
      </c>
      <c r="Z75" s="4">
        <v>12</v>
      </c>
      <c r="AA75" s="4" t="s">
        <v>201</v>
      </c>
      <c r="AB75" s="129"/>
      <c r="AC75" s="3" t="s">
        <v>213</v>
      </c>
      <c r="AD75" s="4" t="s">
        <v>111</v>
      </c>
      <c r="AE75" s="4">
        <v>10</v>
      </c>
      <c r="AF75" s="21" t="s">
        <v>201</v>
      </c>
      <c r="AG75" s="156" t="s">
        <v>203</v>
      </c>
      <c r="AH75" s="3" t="s">
        <v>116</v>
      </c>
      <c r="AI75" s="4" t="s">
        <v>111</v>
      </c>
      <c r="AJ75" s="4">
        <v>12</v>
      </c>
      <c r="AK75" s="4" t="s">
        <v>201</v>
      </c>
      <c r="AL75" s="129"/>
      <c r="AM75" s="3" t="s">
        <v>116</v>
      </c>
      <c r="AN75" s="4" t="s">
        <v>111</v>
      </c>
      <c r="AO75" s="4">
        <v>10</v>
      </c>
      <c r="AP75" s="4" t="s">
        <v>201</v>
      </c>
      <c r="AQ75" s="129"/>
      <c r="AR75" s="3" t="s">
        <v>116</v>
      </c>
      <c r="AS75" s="4" t="s">
        <v>111</v>
      </c>
      <c r="AT75" s="4">
        <v>8</v>
      </c>
      <c r="AU75" s="4" t="s">
        <v>201</v>
      </c>
      <c r="AV75" s="129"/>
      <c r="AW75" s="3" t="s">
        <v>116</v>
      </c>
      <c r="AX75" s="4" t="s">
        <v>111</v>
      </c>
      <c r="AY75" s="4">
        <v>6</v>
      </c>
      <c r="AZ75" s="4" t="s">
        <v>201</v>
      </c>
      <c r="BA75" s="129"/>
      <c r="BF75" s="129"/>
      <c r="BK75" s="129"/>
    </row>
    <row r="76" spans="2:63">
      <c r="B76" s="172"/>
      <c r="C76" s="159" t="s">
        <v>208</v>
      </c>
      <c r="D76" s="17" t="s">
        <v>121</v>
      </c>
      <c r="E76" s="4" t="s">
        <v>111</v>
      </c>
      <c r="F76" s="4">
        <v>20</v>
      </c>
      <c r="G76" s="4" t="s">
        <v>201</v>
      </c>
      <c r="H76" s="129"/>
      <c r="I76" s="3" t="s">
        <v>121</v>
      </c>
      <c r="J76" s="4" t="s">
        <v>111</v>
      </c>
      <c r="K76" s="4">
        <v>18</v>
      </c>
      <c r="L76" s="4" t="s">
        <v>201</v>
      </c>
      <c r="M76" s="129"/>
      <c r="N76" s="3" t="s">
        <v>121</v>
      </c>
      <c r="O76" s="4" t="s">
        <v>111</v>
      </c>
      <c r="P76" s="4">
        <v>16</v>
      </c>
      <c r="Q76" s="4" t="s">
        <v>201</v>
      </c>
      <c r="R76" s="129"/>
      <c r="S76" s="3" t="s">
        <v>121</v>
      </c>
      <c r="T76" s="4" t="s">
        <v>111</v>
      </c>
      <c r="U76" s="4">
        <v>14</v>
      </c>
      <c r="V76" s="4" t="s">
        <v>201</v>
      </c>
      <c r="W76" s="129"/>
      <c r="X76" s="3" t="s">
        <v>121</v>
      </c>
      <c r="Y76" s="4" t="s">
        <v>111</v>
      </c>
      <c r="Z76" s="4">
        <v>12</v>
      </c>
      <c r="AA76" s="4" t="s">
        <v>201</v>
      </c>
      <c r="AB76" s="129"/>
      <c r="AC76" s="3" t="s">
        <v>121</v>
      </c>
      <c r="AD76" s="4" t="s">
        <v>111</v>
      </c>
      <c r="AE76" s="4">
        <v>10</v>
      </c>
      <c r="AF76" s="21" t="s">
        <v>201</v>
      </c>
      <c r="AG76" s="160" t="s">
        <v>206</v>
      </c>
      <c r="AH76" s="158" t="s">
        <v>205</v>
      </c>
      <c r="AI76" s="88"/>
      <c r="AK76" s="21"/>
      <c r="AL76" s="129"/>
      <c r="AM76" s="3" t="s">
        <v>213</v>
      </c>
      <c r="AN76" s="4" t="s">
        <v>111</v>
      </c>
      <c r="AO76" s="4">
        <v>18</v>
      </c>
      <c r="AP76" s="4" t="s">
        <v>201</v>
      </c>
      <c r="AQ76" s="129"/>
      <c r="AR76" s="3" t="s">
        <v>213</v>
      </c>
      <c r="AS76" s="4" t="s">
        <v>111</v>
      </c>
      <c r="AT76" s="4">
        <v>16</v>
      </c>
      <c r="AU76" s="4" t="s">
        <v>201</v>
      </c>
      <c r="AV76" s="129"/>
      <c r="AW76" s="3" t="s">
        <v>213</v>
      </c>
      <c r="AX76" s="4" t="s">
        <v>111</v>
      </c>
      <c r="AY76" s="4">
        <v>14</v>
      </c>
      <c r="AZ76" s="4" t="s">
        <v>201</v>
      </c>
      <c r="BA76" s="129"/>
      <c r="BB76" s="3" t="s">
        <v>213</v>
      </c>
      <c r="BC76" s="4" t="s">
        <v>111</v>
      </c>
      <c r="BD76" s="4">
        <v>12</v>
      </c>
      <c r="BE76" s="4" t="s">
        <v>201</v>
      </c>
      <c r="BF76" s="129"/>
      <c r="BK76" s="129"/>
    </row>
    <row r="77" spans="2:63">
      <c r="B77" s="175"/>
      <c r="C77" s="159" t="s">
        <v>210</v>
      </c>
      <c r="D77" s="17" t="s">
        <v>118</v>
      </c>
      <c r="E77" s="4" t="s">
        <v>111</v>
      </c>
      <c r="F77" s="4">
        <v>20</v>
      </c>
      <c r="G77" s="4" t="s">
        <v>201</v>
      </c>
      <c r="H77" s="129"/>
      <c r="I77" s="17" t="s">
        <v>118</v>
      </c>
      <c r="J77" s="4" t="s">
        <v>111</v>
      </c>
      <c r="K77" s="4">
        <v>18</v>
      </c>
      <c r="L77" s="4" t="s">
        <v>201</v>
      </c>
      <c r="M77" s="129"/>
      <c r="N77" s="17" t="s">
        <v>118</v>
      </c>
      <c r="O77" s="4" t="s">
        <v>111</v>
      </c>
      <c r="P77" s="4">
        <v>16</v>
      </c>
      <c r="Q77" s="4" t="s">
        <v>201</v>
      </c>
      <c r="R77" s="129"/>
      <c r="S77" s="17" t="s">
        <v>118</v>
      </c>
      <c r="T77" s="4" t="s">
        <v>111</v>
      </c>
      <c r="U77" s="4">
        <v>14</v>
      </c>
      <c r="V77" s="4" t="s">
        <v>201</v>
      </c>
      <c r="W77" s="129"/>
      <c r="X77" s="17" t="s">
        <v>118</v>
      </c>
      <c r="Y77" s="4" t="s">
        <v>111</v>
      </c>
      <c r="Z77" s="4">
        <v>12</v>
      </c>
      <c r="AA77" s="4" t="s">
        <v>201</v>
      </c>
      <c r="AB77" s="129"/>
      <c r="AC77" s="17" t="s">
        <v>118</v>
      </c>
      <c r="AD77" s="4" t="s">
        <v>111</v>
      </c>
      <c r="AE77" s="4">
        <v>10</v>
      </c>
      <c r="AF77" s="21" t="s">
        <v>201</v>
      </c>
      <c r="AG77" s="160" t="s">
        <v>208</v>
      </c>
      <c r="AH77" s="176"/>
      <c r="AI77" s="88"/>
      <c r="AK77" s="21"/>
      <c r="AL77" s="129"/>
      <c r="AM77" s="3" t="s">
        <v>118</v>
      </c>
      <c r="AN77" s="4" t="s">
        <v>111</v>
      </c>
      <c r="AO77" s="4">
        <v>18</v>
      </c>
      <c r="AP77" s="4" t="s">
        <v>201</v>
      </c>
      <c r="AQ77" s="129"/>
      <c r="AR77" s="3" t="s">
        <v>118</v>
      </c>
      <c r="AS77" s="4" t="s">
        <v>111</v>
      </c>
      <c r="AT77" s="4">
        <v>16</v>
      </c>
      <c r="AU77" s="4" t="s">
        <v>201</v>
      </c>
      <c r="AV77" s="129"/>
      <c r="AW77" s="3" t="s">
        <v>118</v>
      </c>
      <c r="AX77" s="4" t="s">
        <v>111</v>
      </c>
      <c r="AY77" s="4">
        <v>14</v>
      </c>
      <c r="AZ77" s="4" t="s">
        <v>201</v>
      </c>
      <c r="BA77" s="129"/>
      <c r="BB77" s="3" t="s">
        <v>118</v>
      </c>
      <c r="BC77" s="4" t="s">
        <v>111</v>
      </c>
      <c r="BD77" s="4">
        <v>12</v>
      </c>
      <c r="BE77" s="4" t="s">
        <v>201</v>
      </c>
      <c r="BF77" s="129"/>
      <c r="BK77" s="129"/>
    </row>
    <row r="78" spans="2:63">
      <c r="B78" s="175"/>
      <c r="C78" s="159" t="s">
        <v>212</v>
      </c>
      <c r="D78" s="17" t="s">
        <v>124</v>
      </c>
      <c r="E78" s="4" t="s">
        <v>111</v>
      </c>
      <c r="F78" s="4">
        <v>20</v>
      </c>
      <c r="G78" s="4" t="s">
        <v>201</v>
      </c>
      <c r="H78" s="129"/>
      <c r="I78" s="3" t="s">
        <v>124</v>
      </c>
      <c r="J78" s="4" t="s">
        <v>111</v>
      </c>
      <c r="K78" s="4">
        <v>18</v>
      </c>
      <c r="L78" s="4" t="s">
        <v>201</v>
      </c>
      <c r="M78" s="129"/>
      <c r="N78" s="3" t="s">
        <v>124</v>
      </c>
      <c r="O78" s="4" t="s">
        <v>111</v>
      </c>
      <c r="P78" s="4">
        <v>16</v>
      </c>
      <c r="Q78" s="4" t="s">
        <v>201</v>
      </c>
      <c r="R78" s="129"/>
      <c r="S78" s="3" t="s">
        <v>124</v>
      </c>
      <c r="T78" s="4" t="s">
        <v>111</v>
      </c>
      <c r="U78" s="4">
        <v>14</v>
      </c>
      <c r="V78" s="4" t="s">
        <v>201</v>
      </c>
      <c r="W78" s="129"/>
      <c r="X78" s="3" t="s">
        <v>124</v>
      </c>
      <c r="Y78" s="4" t="s">
        <v>111</v>
      </c>
      <c r="Z78" s="4">
        <v>12</v>
      </c>
      <c r="AA78" s="4" t="s">
        <v>201</v>
      </c>
      <c r="AB78" s="129"/>
      <c r="AC78" s="3" t="s">
        <v>124</v>
      </c>
      <c r="AD78" s="4" t="s">
        <v>111</v>
      </c>
      <c r="AE78" s="4">
        <v>10</v>
      </c>
      <c r="AF78" s="21" t="s">
        <v>201</v>
      </c>
      <c r="AG78" s="160" t="s">
        <v>210</v>
      </c>
      <c r="AH78" s="177"/>
      <c r="AI78" s="178"/>
      <c r="AJ78" s="33"/>
      <c r="AK78" s="36"/>
      <c r="AL78" s="129"/>
      <c r="AM78" s="3" t="s">
        <v>121</v>
      </c>
      <c r="AN78" s="4" t="s">
        <v>111</v>
      </c>
      <c r="AO78" s="4">
        <v>18</v>
      </c>
      <c r="AP78" s="4" t="s">
        <v>201</v>
      </c>
      <c r="AQ78" s="129"/>
      <c r="AR78" s="3" t="s">
        <v>121</v>
      </c>
      <c r="AS78" s="4" t="s">
        <v>111</v>
      </c>
      <c r="AT78" s="4">
        <v>16</v>
      </c>
      <c r="AU78" s="4" t="s">
        <v>201</v>
      </c>
      <c r="AV78" s="129"/>
      <c r="AW78" s="3" t="s">
        <v>121</v>
      </c>
      <c r="AX78" s="4" t="s">
        <v>111</v>
      </c>
      <c r="AY78" s="4">
        <v>14</v>
      </c>
      <c r="AZ78" s="4" t="s">
        <v>201</v>
      </c>
      <c r="BA78" s="129"/>
      <c r="BB78" s="3" t="s">
        <v>121</v>
      </c>
      <c r="BC78" s="4" t="s">
        <v>111</v>
      </c>
      <c r="BD78" s="4">
        <v>12</v>
      </c>
      <c r="BE78" s="4" t="s">
        <v>201</v>
      </c>
      <c r="BF78" s="129"/>
      <c r="BK78" s="129"/>
    </row>
    <row r="79" spans="2:63">
      <c r="C79" s="117"/>
      <c r="D79" s="118" t="s">
        <v>162</v>
      </c>
      <c r="E79" s="173"/>
      <c r="F79" s="173"/>
      <c r="G79" s="173"/>
      <c r="H79" s="129"/>
      <c r="I79" s="121" t="s">
        <v>162</v>
      </c>
      <c r="J79" s="173"/>
      <c r="K79" s="173"/>
      <c r="L79" s="173"/>
      <c r="M79" s="129"/>
      <c r="N79" s="121" t="s">
        <v>162</v>
      </c>
      <c r="O79" s="173"/>
      <c r="P79" s="173"/>
      <c r="Q79" s="173"/>
      <c r="R79" s="129"/>
      <c r="S79" s="121" t="s">
        <v>162</v>
      </c>
      <c r="T79" s="173"/>
      <c r="U79" s="173"/>
      <c r="V79" s="173"/>
      <c r="W79" s="129"/>
      <c r="X79" s="121" t="s">
        <v>162</v>
      </c>
      <c r="Y79" s="173"/>
      <c r="Z79" s="173"/>
      <c r="AA79" s="173"/>
      <c r="AB79" s="129"/>
      <c r="AC79" s="121" t="s">
        <v>162</v>
      </c>
      <c r="AD79" s="173"/>
      <c r="AE79" s="173"/>
      <c r="AF79" s="174"/>
      <c r="AG79" s="124"/>
      <c r="AH79" s="121" t="s">
        <v>162</v>
      </c>
      <c r="AI79" s="173"/>
      <c r="AJ79" s="173"/>
      <c r="AK79" s="173"/>
      <c r="AL79" s="129"/>
      <c r="AM79" s="121" t="s">
        <v>162</v>
      </c>
      <c r="AN79" s="173"/>
      <c r="AO79" s="173"/>
      <c r="AP79" s="173"/>
      <c r="AQ79" s="129"/>
      <c r="AR79" s="121" t="s">
        <v>162</v>
      </c>
      <c r="AS79" s="173"/>
      <c r="AT79" s="173"/>
      <c r="AU79" s="173"/>
      <c r="AV79" s="129"/>
      <c r="AW79" s="121" t="s">
        <v>162</v>
      </c>
      <c r="AX79" s="173"/>
      <c r="AY79" s="173"/>
      <c r="AZ79" s="173"/>
      <c r="BA79" s="129"/>
      <c r="BB79" s="121" t="s">
        <v>162</v>
      </c>
      <c r="BC79" s="173"/>
      <c r="BD79" s="173"/>
      <c r="BE79" s="173"/>
      <c r="BF79" s="129"/>
      <c r="BG79" s="121" t="s">
        <v>162</v>
      </c>
      <c r="BH79" s="173"/>
      <c r="BI79" s="173"/>
      <c r="BJ79" s="173"/>
      <c r="BK79" s="129"/>
    </row>
    <row r="80" spans="2:63">
      <c r="C80" s="134" t="s">
        <v>128</v>
      </c>
      <c r="D80" s="135" t="s">
        <v>99</v>
      </c>
      <c r="E80" s="136" t="s">
        <v>100</v>
      </c>
      <c r="F80" s="136" t="s">
        <v>101</v>
      </c>
      <c r="G80" s="136" t="s">
        <v>102</v>
      </c>
      <c r="H80" s="129"/>
      <c r="I80" s="137" t="s">
        <v>99</v>
      </c>
      <c r="J80" s="136" t="s">
        <v>100</v>
      </c>
      <c r="K80" s="136" t="s">
        <v>101</v>
      </c>
      <c r="L80" s="136" t="s">
        <v>102</v>
      </c>
      <c r="M80" s="129"/>
      <c r="N80" s="137" t="s">
        <v>99</v>
      </c>
      <c r="O80" s="136" t="s">
        <v>100</v>
      </c>
      <c r="P80" s="136" t="s">
        <v>101</v>
      </c>
      <c r="Q80" s="136" t="s">
        <v>102</v>
      </c>
      <c r="R80" s="129"/>
      <c r="S80" s="137" t="s">
        <v>99</v>
      </c>
      <c r="T80" s="136" t="s">
        <v>100</v>
      </c>
      <c r="U80" s="136" t="s">
        <v>101</v>
      </c>
      <c r="V80" s="136" t="s">
        <v>102</v>
      </c>
      <c r="W80" s="129"/>
      <c r="X80" s="137" t="s">
        <v>99</v>
      </c>
      <c r="Y80" s="136" t="s">
        <v>100</v>
      </c>
      <c r="Z80" s="136" t="s">
        <v>101</v>
      </c>
      <c r="AA80" s="136" t="s">
        <v>102</v>
      </c>
      <c r="AB80" s="129"/>
      <c r="AC80" s="137" t="s">
        <v>99</v>
      </c>
      <c r="AD80" s="136" t="s">
        <v>100</v>
      </c>
      <c r="AE80" s="136" t="s">
        <v>101</v>
      </c>
      <c r="AF80" s="138" t="s">
        <v>102</v>
      </c>
      <c r="AG80" s="139" t="s">
        <v>128</v>
      </c>
      <c r="AH80" s="137" t="s">
        <v>99</v>
      </c>
      <c r="AI80" s="136" t="s">
        <v>100</v>
      </c>
      <c r="AJ80" s="136" t="s">
        <v>101</v>
      </c>
      <c r="AK80" s="136" t="s">
        <v>102</v>
      </c>
      <c r="AL80" s="129"/>
      <c r="AM80" s="137" t="s">
        <v>99</v>
      </c>
      <c r="AN80" s="136" t="s">
        <v>100</v>
      </c>
      <c r="AO80" s="136" t="s">
        <v>101</v>
      </c>
      <c r="AP80" s="136" t="s">
        <v>102</v>
      </c>
      <c r="AQ80" s="129"/>
      <c r="AR80" s="137" t="s">
        <v>99</v>
      </c>
      <c r="AS80" s="136" t="s">
        <v>100</v>
      </c>
      <c r="AT80" s="136" t="s">
        <v>101</v>
      </c>
      <c r="AU80" s="136" t="s">
        <v>102</v>
      </c>
      <c r="AV80" s="129"/>
      <c r="AW80" s="137" t="s">
        <v>99</v>
      </c>
      <c r="AX80" s="136" t="s">
        <v>100</v>
      </c>
      <c r="AY80" s="136" t="s">
        <v>101</v>
      </c>
      <c r="AZ80" s="136" t="s">
        <v>102</v>
      </c>
      <c r="BA80" s="129"/>
      <c r="BB80" s="137" t="s">
        <v>99</v>
      </c>
      <c r="BC80" s="136" t="s">
        <v>100</v>
      </c>
      <c r="BD80" s="136" t="s">
        <v>101</v>
      </c>
      <c r="BE80" s="136" t="s">
        <v>102</v>
      </c>
      <c r="BF80" s="129"/>
      <c r="BG80" s="137" t="s">
        <v>99</v>
      </c>
      <c r="BH80" s="136" t="s">
        <v>100</v>
      </c>
      <c r="BI80" s="136" t="s">
        <v>101</v>
      </c>
      <c r="BJ80" s="136" t="s">
        <v>102</v>
      </c>
      <c r="BK80" s="129"/>
    </row>
    <row r="81" spans="3:63">
      <c r="C81" s="72">
        <v>1</v>
      </c>
      <c r="D81" s="17" t="str">
        <f>D21</f>
        <v>辅助深蹲</v>
      </c>
      <c r="E81" s="20" t="s">
        <v>188</v>
      </c>
      <c r="H81" s="129"/>
      <c r="I81" s="3" t="str">
        <f>I21</f>
        <v>辅助深蹲</v>
      </c>
      <c r="J81" s="20" t="s">
        <v>189</v>
      </c>
      <c r="M81" s="129"/>
      <c r="N81" s="3" t="str">
        <f>N21</f>
        <v>辅助深蹲</v>
      </c>
      <c r="O81" s="20" t="s">
        <v>190</v>
      </c>
      <c r="P81" s="9"/>
      <c r="Q81" s="12"/>
      <c r="R81" s="129"/>
      <c r="S81" s="3" t="str">
        <f>S21</f>
        <v>辅助深蹲</v>
      </c>
      <c r="T81" s="20" t="s">
        <v>191</v>
      </c>
      <c r="U81" s="9"/>
      <c r="V81" s="12"/>
      <c r="W81" s="129"/>
      <c r="X81" s="3" t="str">
        <f>X21</f>
        <v>辅助深蹲</v>
      </c>
      <c r="Y81" s="20" t="s">
        <v>192</v>
      </c>
      <c r="Z81" s="9"/>
      <c r="AA81" s="12"/>
      <c r="AB81" s="129"/>
      <c r="AC81" s="3" t="str">
        <f>AC21</f>
        <v>辅助深蹲</v>
      </c>
      <c r="AD81" s="140" t="s">
        <v>193</v>
      </c>
      <c r="AE81" s="141"/>
      <c r="AF81" s="142"/>
      <c r="AG81" s="143">
        <v>1</v>
      </c>
      <c r="AH81" s="3" t="str">
        <f>AH21</f>
        <v>硬拉</v>
      </c>
      <c r="AI81" s="4" t="s">
        <v>190</v>
      </c>
      <c r="AJ81" s="9"/>
      <c r="AK81" s="20"/>
      <c r="AL81" s="129"/>
      <c r="AM81" s="3" t="str">
        <f>AM21</f>
        <v>硬拉</v>
      </c>
      <c r="AN81" s="4" t="s">
        <v>191</v>
      </c>
      <c r="AO81" s="9"/>
      <c r="AP81" s="20"/>
      <c r="AQ81" s="129"/>
      <c r="AR81" s="3" t="str">
        <f>AR21</f>
        <v>硬拉</v>
      </c>
      <c r="AS81" s="20" t="s">
        <v>192</v>
      </c>
      <c r="AT81" s="9"/>
      <c r="AU81" s="20"/>
      <c r="AV81" s="129"/>
      <c r="AW81" s="3" t="str">
        <f>AW21</f>
        <v>硬拉</v>
      </c>
      <c r="AX81" s="20" t="s">
        <v>194</v>
      </c>
      <c r="AY81" s="9"/>
      <c r="AZ81" s="20"/>
      <c r="BA81" s="129"/>
      <c r="BB81" s="3" t="str">
        <f>BB21</f>
        <v>硬拉</v>
      </c>
      <c r="BC81" s="4" t="s">
        <v>195</v>
      </c>
      <c r="BD81" s="9"/>
      <c r="BE81" s="20"/>
      <c r="BF81" s="129"/>
      <c r="BG81" s="3" t="str">
        <f>BG21</f>
        <v>硬拉</v>
      </c>
      <c r="BH81" s="140" t="s">
        <v>193</v>
      </c>
      <c r="BI81" s="141"/>
      <c r="BJ81" s="142"/>
      <c r="BK81" s="129"/>
    </row>
    <row r="82" spans="3:63">
      <c r="C82" s="72">
        <v>1</v>
      </c>
      <c r="D82" s="144" t="s">
        <v>196</v>
      </c>
      <c r="E82" s="4">
        <f>ROUND($O$5*E21*0.2,0)*5</f>
        <v>155</v>
      </c>
      <c r="F82" s="4">
        <v>6</v>
      </c>
      <c r="G82" s="4" t="s">
        <v>105</v>
      </c>
      <c r="H82" s="129"/>
      <c r="I82" s="145" t="s">
        <v>196</v>
      </c>
      <c r="J82" s="4">
        <f>ROUND($O$5*J21*0.2,0)*5</f>
        <v>165</v>
      </c>
      <c r="K82" s="4">
        <v>5</v>
      </c>
      <c r="L82" s="4" t="s">
        <v>105</v>
      </c>
      <c r="M82" s="129"/>
      <c r="N82" s="145" t="s">
        <v>196</v>
      </c>
      <c r="O82" s="4">
        <f>ROUND($O$5*O21*0.2,0)*5</f>
        <v>175</v>
      </c>
      <c r="P82" s="4">
        <v>4</v>
      </c>
      <c r="Q82" s="4" t="s">
        <v>105</v>
      </c>
      <c r="R82" s="129"/>
      <c r="S82" s="145" t="s">
        <v>196</v>
      </c>
      <c r="T82" s="4">
        <f>ROUND($O$5*T21*0.2,0)*5</f>
        <v>180</v>
      </c>
      <c r="U82" s="4">
        <v>3</v>
      </c>
      <c r="V82" s="4" t="s">
        <v>105</v>
      </c>
      <c r="W82" s="129"/>
      <c r="X82" s="145" t="s">
        <v>196</v>
      </c>
      <c r="Y82" s="4">
        <f>ROUND($O$5*Y21*0.2,0)*5</f>
        <v>185</v>
      </c>
      <c r="Z82" s="4">
        <v>2</v>
      </c>
      <c r="AA82" s="4" t="s">
        <v>106</v>
      </c>
      <c r="AB82" s="129"/>
      <c r="AF82" s="21"/>
      <c r="AG82" s="146">
        <v>1</v>
      </c>
      <c r="AH82" s="147" t="s">
        <v>196</v>
      </c>
      <c r="AI82" s="148">
        <v>0.85</v>
      </c>
      <c r="AJ82" s="4">
        <v>3</v>
      </c>
      <c r="AK82" s="4" t="s">
        <v>107</v>
      </c>
      <c r="AL82" s="129"/>
      <c r="AM82" s="147" t="s">
        <v>196</v>
      </c>
      <c r="AN82" s="148">
        <v>0.85</v>
      </c>
      <c r="AO82" s="4">
        <v>2</v>
      </c>
      <c r="AP82" s="4" t="s">
        <v>107</v>
      </c>
      <c r="AQ82" s="129"/>
      <c r="AR82" s="147" t="s">
        <v>196</v>
      </c>
      <c r="AS82" s="148">
        <v>0.85</v>
      </c>
      <c r="AT82" s="4">
        <v>1</v>
      </c>
      <c r="AU82" s="4" t="s">
        <v>107</v>
      </c>
      <c r="AV82" s="129"/>
      <c r="AW82" s="147" t="s">
        <v>196</v>
      </c>
      <c r="AX82" s="148">
        <v>0.9</v>
      </c>
      <c r="AY82" s="4">
        <v>2</v>
      </c>
      <c r="AZ82" s="4" t="s">
        <v>105</v>
      </c>
      <c r="BA82" s="129"/>
      <c r="BB82" s="147" t="s">
        <v>196</v>
      </c>
      <c r="BC82" s="148">
        <v>0.9</v>
      </c>
      <c r="BD82" s="4">
        <v>1</v>
      </c>
      <c r="BE82" s="4" t="s">
        <v>105</v>
      </c>
      <c r="BF82" s="129"/>
      <c r="BK82" s="129"/>
    </row>
    <row r="83" spans="3:63">
      <c r="C83" s="72">
        <v>1</v>
      </c>
      <c r="D83" s="150" t="s">
        <v>197</v>
      </c>
      <c r="E83" s="151"/>
      <c r="F83" s="151"/>
      <c r="G83" s="151"/>
      <c r="H83" s="129"/>
      <c r="I83" s="152" t="s">
        <v>197</v>
      </c>
      <c r="J83" s="151"/>
      <c r="K83" s="151"/>
      <c r="L83" s="151"/>
      <c r="M83" s="129"/>
      <c r="N83" s="152" t="s">
        <v>197</v>
      </c>
      <c r="O83" s="151"/>
      <c r="P83" s="151"/>
      <c r="R83" s="129"/>
      <c r="S83" s="152" t="s">
        <v>197</v>
      </c>
      <c r="W83" s="129"/>
      <c r="X83" s="152" t="s">
        <v>197</v>
      </c>
      <c r="AB83" s="129"/>
      <c r="AF83" s="21"/>
      <c r="AG83" s="146">
        <v>1</v>
      </c>
      <c r="AH83" s="153" t="s">
        <v>197</v>
      </c>
      <c r="AI83" s="151"/>
      <c r="AJ83" s="151"/>
      <c r="AK83" s="151"/>
      <c r="AL83" s="129"/>
      <c r="AM83" s="153" t="s">
        <v>197</v>
      </c>
      <c r="AN83" s="151"/>
      <c r="AO83" s="151"/>
      <c r="AP83" s="151"/>
      <c r="AQ83" s="129"/>
      <c r="AR83" s="153" t="s">
        <v>197</v>
      </c>
      <c r="AS83" s="151"/>
      <c r="AT83" s="151"/>
      <c r="AU83" s="151"/>
      <c r="AV83" s="129"/>
      <c r="AW83" s="153" t="s">
        <v>197</v>
      </c>
      <c r="AX83" s="151"/>
      <c r="AY83" s="151"/>
      <c r="AZ83" s="151"/>
      <c r="BA83" s="129"/>
      <c r="BB83" s="153" t="s">
        <v>197</v>
      </c>
      <c r="BC83" s="151"/>
      <c r="BD83" s="151"/>
      <c r="BE83" s="151"/>
      <c r="BF83" s="129"/>
      <c r="BK83" s="129"/>
    </row>
    <row r="84" spans="3:63">
      <c r="C84" s="89" t="s">
        <v>198</v>
      </c>
      <c r="D84" s="17" t="str">
        <f>D41</f>
        <v>比赛深蹲</v>
      </c>
      <c r="E84" s="4">
        <f>ROUND($E$4*E$41*0.2,0)*5</f>
        <v>170</v>
      </c>
      <c r="F84" s="4">
        <v>10</v>
      </c>
      <c r="G84" s="4">
        <v>4</v>
      </c>
      <c r="H84" s="129"/>
      <c r="I84" s="3" t="str">
        <f>I41</f>
        <v>比赛深蹲</v>
      </c>
      <c r="J84" s="4">
        <f>ROUND($E$4*J$41*0.2,0)*5</f>
        <v>205</v>
      </c>
      <c r="K84" s="4">
        <v>8</v>
      </c>
      <c r="L84" s="4">
        <v>4</v>
      </c>
      <c r="M84" s="129"/>
      <c r="N84" s="3" t="str">
        <f>N41</f>
        <v>比赛深蹲</v>
      </c>
      <c r="O84" s="4">
        <f>ROUND($E$4*O$41*0.2,0)*5</f>
        <v>240</v>
      </c>
      <c r="P84" s="4">
        <v>6</v>
      </c>
      <c r="Q84" s="4">
        <v>4</v>
      </c>
      <c r="R84" s="129"/>
      <c r="S84" s="3" t="str">
        <f>S41</f>
        <v>比赛深蹲</v>
      </c>
      <c r="T84" s="4">
        <f>ROUND($E$4*T$41*0.2,0)*5</f>
        <v>255</v>
      </c>
      <c r="U84" s="4">
        <v>4</v>
      </c>
      <c r="V84" s="4">
        <v>5</v>
      </c>
      <c r="W84" s="129"/>
      <c r="X84" s="3" t="str">
        <f>X41</f>
        <v>比赛深蹲</v>
      </c>
      <c r="Y84" s="4">
        <f>ROUND($E$4*Y$41*0.2,0)*5</f>
        <v>275</v>
      </c>
      <c r="Z84" s="4">
        <v>2</v>
      </c>
      <c r="AA84" s="4">
        <v>7</v>
      </c>
      <c r="AB84" s="129"/>
      <c r="AC84" s="155" t="str">
        <f>AC41</f>
        <v>休息，不做二级辅助</v>
      </c>
      <c r="AF84" s="21"/>
      <c r="AG84" s="156" t="s">
        <v>198</v>
      </c>
      <c r="AH84" s="3" t="str">
        <f>AH41</f>
        <v>辅助深蹲</v>
      </c>
      <c r="AI84" s="4">
        <f>ROUND($AS$5*AI$41*0.2,0)*5</f>
        <v>220</v>
      </c>
      <c r="AJ84" s="4">
        <v>6</v>
      </c>
      <c r="AK84" s="4">
        <v>5</v>
      </c>
      <c r="AL84" s="157"/>
      <c r="AM84" s="3" t="str">
        <f>AM41</f>
        <v>辅助深蹲</v>
      </c>
      <c r="AN84" s="4">
        <f>ROUND($AS$5*AN$41*0.2,0)*5</f>
        <v>235</v>
      </c>
      <c r="AO84" s="4">
        <v>5</v>
      </c>
      <c r="AP84" s="4">
        <v>5</v>
      </c>
      <c r="AQ84" s="157"/>
      <c r="AR84" s="3" t="str">
        <f>AR41</f>
        <v>辅助深蹲</v>
      </c>
      <c r="AS84" s="4">
        <f>ROUND($AS$5*AS$41*0.2,0)*5</f>
        <v>250</v>
      </c>
      <c r="AT84" s="4">
        <v>4</v>
      </c>
      <c r="AU84" s="4">
        <v>5</v>
      </c>
      <c r="AV84" s="157"/>
      <c r="AW84" s="3" t="str">
        <f>AW41</f>
        <v>辅助深蹲</v>
      </c>
      <c r="AX84" s="4">
        <f>ROUND($AS$5*AX$41*0.2,0)*5</f>
        <v>260</v>
      </c>
      <c r="AY84" s="4">
        <v>3</v>
      </c>
      <c r="AZ84" s="4">
        <v>6</v>
      </c>
      <c r="BA84" s="129"/>
      <c r="BB84" s="3" t="str">
        <f>BB41</f>
        <v>辅助深蹲</v>
      </c>
      <c r="BC84" s="4">
        <f>ROUND($AS$5*BC$41*0.2,0)*5</f>
        <v>270</v>
      </c>
      <c r="BD84" s="4">
        <v>2</v>
      </c>
      <c r="BE84" s="4">
        <v>7</v>
      </c>
      <c r="BF84" s="129"/>
      <c r="BG84" s="3" t="str">
        <f>BG41</f>
        <v>辅助深蹲</v>
      </c>
      <c r="BH84" s="140" t="s">
        <v>193</v>
      </c>
      <c r="BI84" s="141"/>
      <c r="BJ84" s="142"/>
      <c r="BK84" s="129"/>
    </row>
    <row r="85" spans="3:63">
      <c r="C85" s="89" t="s">
        <v>199</v>
      </c>
      <c r="D85" s="17" t="s">
        <v>126</v>
      </c>
      <c r="E85" s="4" t="s">
        <v>111</v>
      </c>
      <c r="F85" s="4">
        <v>15</v>
      </c>
      <c r="G85" s="4" t="s">
        <v>201</v>
      </c>
      <c r="H85" s="129"/>
      <c r="I85" s="3" t="s">
        <v>126</v>
      </c>
      <c r="J85" s="93" t="s">
        <v>111</v>
      </c>
      <c r="K85" s="4">
        <v>12</v>
      </c>
      <c r="L85" s="4" t="s">
        <v>201</v>
      </c>
      <c r="M85" s="129"/>
      <c r="N85" s="3" t="s">
        <v>126</v>
      </c>
      <c r="O85" s="93" t="s">
        <v>111</v>
      </c>
      <c r="P85" s="4">
        <v>10</v>
      </c>
      <c r="Q85" s="4" t="s">
        <v>201</v>
      </c>
      <c r="R85" s="129"/>
      <c r="S85" s="3" t="s">
        <v>126</v>
      </c>
      <c r="T85" s="93" t="s">
        <v>111</v>
      </c>
      <c r="U85" s="4">
        <v>8</v>
      </c>
      <c r="V85" s="4" t="s">
        <v>201</v>
      </c>
      <c r="W85" s="129"/>
      <c r="X85" s="3" t="s">
        <v>126</v>
      </c>
      <c r="Y85" s="93" t="s">
        <v>111</v>
      </c>
      <c r="Z85" s="4">
        <v>6</v>
      </c>
      <c r="AA85" s="4" t="s">
        <v>201</v>
      </c>
      <c r="AB85" s="129"/>
      <c r="AC85" s="155"/>
      <c r="AD85" s="93"/>
      <c r="AF85" s="21"/>
      <c r="AG85" s="156"/>
      <c r="AI85" s="93"/>
      <c r="AL85" s="129"/>
      <c r="AQ85" s="129"/>
      <c r="AS85" s="93"/>
      <c r="AV85" s="129"/>
      <c r="BA85" s="129"/>
      <c r="BB85" s="155" t="s">
        <v>202</v>
      </c>
      <c r="BC85" s="93"/>
      <c r="BF85" s="129"/>
      <c r="BG85" s="155" t="s">
        <v>168</v>
      </c>
      <c r="BH85" s="93"/>
      <c r="BK85" s="129"/>
    </row>
    <row r="86" spans="3:63">
      <c r="C86" s="89" t="s">
        <v>203</v>
      </c>
      <c r="D86" s="17" t="s">
        <v>214</v>
      </c>
      <c r="E86" s="4" t="s">
        <v>111</v>
      </c>
      <c r="F86" s="4">
        <v>15</v>
      </c>
      <c r="G86" s="4" t="s">
        <v>201</v>
      </c>
      <c r="H86" s="129"/>
      <c r="I86" s="3" t="s">
        <v>214</v>
      </c>
      <c r="J86" s="4" t="s">
        <v>111</v>
      </c>
      <c r="K86" s="4">
        <v>12</v>
      </c>
      <c r="L86" s="4" t="s">
        <v>201</v>
      </c>
      <c r="M86" s="129"/>
      <c r="N86" s="3" t="s">
        <v>214</v>
      </c>
      <c r="O86" s="4" t="s">
        <v>111</v>
      </c>
      <c r="P86" s="4">
        <v>10</v>
      </c>
      <c r="Q86" s="4" t="s">
        <v>201</v>
      </c>
      <c r="R86" s="129"/>
      <c r="S86" s="3" t="s">
        <v>214</v>
      </c>
      <c r="T86" s="4" t="s">
        <v>111</v>
      </c>
      <c r="U86" s="4">
        <v>8</v>
      </c>
      <c r="V86" s="4" t="s">
        <v>201</v>
      </c>
      <c r="W86" s="129"/>
      <c r="X86" s="3" t="s">
        <v>214</v>
      </c>
      <c r="Y86" s="4" t="s">
        <v>111</v>
      </c>
      <c r="Z86" s="4">
        <v>6</v>
      </c>
      <c r="AA86" s="4" t="s">
        <v>201</v>
      </c>
      <c r="AB86" s="129"/>
      <c r="AF86" s="21"/>
      <c r="AG86" s="156" t="s">
        <v>199</v>
      </c>
      <c r="AH86" s="3" t="s">
        <v>125</v>
      </c>
      <c r="AI86" s="4" t="s">
        <v>111</v>
      </c>
      <c r="AJ86" s="4">
        <v>12</v>
      </c>
      <c r="AK86" s="4" t="s">
        <v>201</v>
      </c>
      <c r="AL86" s="129"/>
      <c r="AM86" s="3" t="s">
        <v>125</v>
      </c>
      <c r="AN86" s="4" t="s">
        <v>111</v>
      </c>
      <c r="AO86" s="4">
        <v>10</v>
      </c>
      <c r="AP86" s="4" t="s">
        <v>201</v>
      </c>
      <c r="AQ86" s="129"/>
      <c r="AR86" s="3" t="s">
        <v>125</v>
      </c>
      <c r="AS86" s="4" t="s">
        <v>111</v>
      </c>
      <c r="AT86" s="4">
        <v>8</v>
      </c>
      <c r="AU86" s="4" t="s">
        <v>201</v>
      </c>
      <c r="AV86" s="129"/>
      <c r="AW86" s="3" t="s">
        <v>125</v>
      </c>
      <c r="AX86" s="4" t="s">
        <v>111</v>
      </c>
      <c r="AY86" s="4">
        <v>6</v>
      </c>
      <c r="AZ86" s="4" t="s">
        <v>201</v>
      </c>
      <c r="BA86" s="129"/>
      <c r="BF86" s="129"/>
      <c r="BG86" s="158" t="s">
        <v>205</v>
      </c>
      <c r="BK86" s="129"/>
    </row>
    <row r="87" spans="3:63">
      <c r="C87" s="159" t="s">
        <v>206</v>
      </c>
      <c r="D87" s="17" t="s">
        <v>211</v>
      </c>
      <c r="E87" s="4" t="s">
        <v>111</v>
      </c>
      <c r="F87" s="4">
        <v>20</v>
      </c>
      <c r="G87" s="4" t="s">
        <v>201</v>
      </c>
      <c r="H87" s="129"/>
      <c r="I87" s="3" t="s">
        <v>211</v>
      </c>
      <c r="J87" s="4" t="s">
        <v>111</v>
      </c>
      <c r="K87" s="4">
        <v>18</v>
      </c>
      <c r="L87" s="4" t="s">
        <v>201</v>
      </c>
      <c r="M87" s="129"/>
      <c r="N87" s="3" t="s">
        <v>211</v>
      </c>
      <c r="O87" s="4" t="s">
        <v>111</v>
      </c>
      <c r="P87" s="4">
        <v>16</v>
      </c>
      <c r="Q87" s="4" t="s">
        <v>201</v>
      </c>
      <c r="R87" s="129"/>
      <c r="S87" s="3" t="s">
        <v>211</v>
      </c>
      <c r="T87" s="4" t="s">
        <v>111</v>
      </c>
      <c r="U87" s="4">
        <v>14</v>
      </c>
      <c r="V87" s="4" t="s">
        <v>201</v>
      </c>
      <c r="W87" s="129"/>
      <c r="X87" s="3" t="s">
        <v>211</v>
      </c>
      <c r="Y87" s="4" t="s">
        <v>111</v>
      </c>
      <c r="Z87" s="4">
        <v>12</v>
      </c>
      <c r="AA87" s="4" t="s">
        <v>201</v>
      </c>
      <c r="AB87" s="129"/>
      <c r="AC87" s="3" t="s">
        <v>211</v>
      </c>
      <c r="AD87" s="4" t="s">
        <v>111</v>
      </c>
      <c r="AE87" s="4">
        <v>10</v>
      </c>
      <c r="AF87" s="21" t="s">
        <v>201</v>
      </c>
      <c r="AG87" s="156" t="s">
        <v>203</v>
      </c>
      <c r="AH87" s="3" t="s">
        <v>215</v>
      </c>
      <c r="AI87" s="4" t="s">
        <v>111</v>
      </c>
      <c r="AJ87" s="4">
        <v>12</v>
      </c>
      <c r="AK87" s="4" t="s">
        <v>201</v>
      </c>
      <c r="AL87" s="129"/>
      <c r="AM87" s="3" t="s">
        <v>215</v>
      </c>
      <c r="AN87" s="4" t="s">
        <v>111</v>
      </c>
      <c r="AO87" s="4">
        <v>10</v>
      </c>
      <c r="AP87" s="4" t="s">
        <v>201</v>
      </c>
      <c r="AQ87" s="129"/>
      <c r="AR87" s="3" t="s">
        <v>215</v>
      </c>
      <c r="AS87" s="4" t="s">
        <v>111</v>
      </c>
      <c r="AT87" s="4">
        <v>8</v>
      </c>
      <c r="AU87" s="4" t="s">
        <v>201</v>
      </c>
      <c r="AV87" s="129"/>
      <c r="AW87" s="3" t="s">
        <v>215</v>
      </c>
      <c r="AX87" s="4" t="s">
        <v>111</v>
      </c>
      <c r="AY87" s="4">
        <v>6</v>
      </c>
      <c r="AZ87" s="4" t="s">
        <v>201</v>
      </c>
      <c r="BA87" s="129"/>
      <c r="BF87" s="129"/>
      <c r="BK87" s="129"/>
    </row>
    <row r="88" spans="3:63">
      <c r="C88" s="159" t="s">
        <v>208</v>
      </c>
      <c r="D88" s="17" t="s">
        <v>113</v>
      </c>
      <c r="E88" s="4" t="s">
        <v>111</v>
      </c>
      <c r="F88" s="4">
        <v>20</v>
      </c>
      <c r="G88" s="4" t="s">
        <v>201</v>
      </c>
      <c r="H88" s="129"/>
      <c r="I88" s="3" t="s">
        <v>113</v>
      </c>
      <c r="J88" s="4" t="s">
        <v>111</v>
      </c>
      <c r="K88" s="4">
        <v>18</v>
      </c>
      <c r="L88" s="4" t="s">
        <v>201</v>
      </c>
      <c r="M88" s="129"/>
      <c r="N88" s="3" t="s">
        <v>113</v>
      </c>
      <c r="O88" s="4" t="s">
        <v>111</v>
      </c>
      <c r="P88" s="4">
        <v>16</v>
      </c>
      <c r="Q88" s="4" t="s">
        <v>201</v>
      </c>
      <c r="R88" s="129"/>
      <c r="S88" s="3" t="s">
        <v>113</v>
      </c>
      <c r="T88" s="4" t="s">
        <v>111</v>
      </c>
      <c r="U88" s="4">
        <v>14</v>
      </c>
      <c r="V88" s="4" t="s">
        <v>201</v>
      </c>
      <c r="W88" s="129"/>
      <c r="X88" s="3" t="s">
        <v>113</v>
      </c>
      <c r="Y88" s="4" t="s">
        <v>111</v>
      </c>
      <c r="Z88" s="4">
        <v>12</v>
      </c>
      <c r="AA88" s="4" t="s">
        <v>201</v>
      </c>
      <c r="AB88" s="129"/>
      <c r="AC88" s="3" t="s">
        <v>113</v>
      </c>
      <c r="AD88" s="4" t="s">
        <v>111</v>
      </c>
      <c r="AE88" s="4">
        <v>10</v>
      </c>
      <c r="AF88" s="21" t="s">
        <v>201</v>
      </c>
      <c r="AG88" s="160" t="s">
        <v>206</v>
      </c>
      <c r="AH88" s="158" t="s">
        <v>205</v>
      </c>
      <c r="AI88" s="88"/>
      <c r="AK88" s="21"/>
      <c r="AL88" s="129"/>
      <c r="AM88" s="3" t="s">
        <v>207</v>
      </c>
      <c r="AN88" s="4" t="s">
        <v>111</v>
      </c>
      <c r="AO88" s="4">
        <v>18</v>
      </c>
      <c r="AP88" s="4" t="s">
        <v>201</v>
      </c>
      <c r="AQ88" s="129"/>
      <c r="AR88" s="3" t="s">
        <v>207</v>
      </c>
      <c r="AS88" s="4" t="s">
        <v>111</v>
      </c>
      <c r="AT88" s="4">
        <v>16</v>
      </c>
      <c r="AU88" s="4" t="s">
        <v>201</v>
      </c>
      <c r="AV88" s="129"/>
      <c r="AW88" s="3" t="s">
        <v>207</v>
      </c>
      <c r="AX88" s="4" t="s">
        <v>111</v>
      </c>
      <c r="AY88" s="4">
        <v>14</v>
      </c>
      <c r="AZ88" s="4" t="s">
        <v>201</v>
      </c>
      <c r="BA88" s="129"/>
      <c r="BB88" s="3" t="s">
        <v>207</v>
      </c>
      <c r="BC88" s="4" t="s">
        <v>111</v>
      </c>
      <c r="BD88" s="4">
        <v>12</v>
      </c>
      <c r="BE88" s="4" t="s">
        <v>201</v>
      </c>
      <c r="BF88" s="129"/>
      <c r="BK88" s="129"/>
    </row>
    <row r="89" spans="3:63">
      <c r="C89" s="159" t="s">
        <v>210</v>
      </c>
      <c r="D89" s="17" t="s">
        <v>216</v>
      </c>
      <c r="E89" s="4" t="s">
        <v>111</v>
      </c>
      <c r="F89" s="4">
        <v>20</v>
      </c>
      <c r="G89" s="4" t="s">
        <v>201</v>
      </c>
      <c r="H89" s="129"/>
      <c r="I89" s="3" t="s">
        <v>216</v>
      </c>
      <c r="J89" s="4" t="s">
        <v>111</v>
      </c>
      <c r="K89" s="4">
        <v>18</v>
      </c>
      <c r="L89" s="4" t="s">
        <v>201</v>
      </c>
      <c r="M89" s="129"/>
      <c r="N89" s="3" t="s">
        <v>216</v>
      </c>
      <c r="O89" s="4" t="s">
        <v>111</v>
      </c>
      <c r="P89" s="4">
        <v>16</v>
      </c>
      <c r="Q89" s="4" t="s">
        <v>201</v>
      </c>
      <c r="R89" s="129"/>
      <c r="S89" s="3" t="s">
        <v>216</v>
      </c>
      <c r="T89" s="4" t="s">
        <v>111</v>
      </c>
      <c r="U89" s="4">
        <v>14</v>
      </c>
      <c r="V89" s="4" t="s">
        <v>201</v>
      </c>
      <c r="W89" s="129"/>
      <c r="X89" s="3" t="s">
        <v>216</v>
      </c>
      <c r="Y89" s="4" t="s">
        <v>111</v>
      </c>
      <c r="Z89" s="4">
        <v>12</v>
      </c>
      <c r="AA89" s="4" t="s">
        <v>201</v>
      </c>
      <c r="AB89" s="129"/>
      <c r="AC89" s="3" t="s">
        <v>216</v>
      </c>
      <c r="AD89" s="4" t="s">
        <v>111</v>
      </c>
      <c r="AE89" s="4">
        <v>10</v>
      </c>
      <c r="AF89" s="21" t="s">
        <v>201</v>
      </c>
      <c r="AG89" s="160" t="s">
        <v>208</v>
      </c>
      <c r="AH89" s="176"/>
      <c r="AI89" s="88"/>
      <c r="AK89" s="21"/>
      <c r="AL89" s="129"/>
      <c r="AM89" s="3" t="s">
        <v>112</v>
      </c>
      <c r="AN89" s="4" t="s">
        <v>111</v>
      </c>
      <c r="AO89" s="4">
        <v>18</v>
      </c>
      <c r="AP89" s="4" t="s">
        <v>201</v>
      </c>
      <c r="AQ89" s="129"/>
      <c r="AR89" s="3" t="s">
        <v>112</v>
      </c>
      <c r="AS89" s="4" t="s">
        <v>111</v>
      </c>
      <c r="AT89" s="4">
        <v>16</v>
      </c>
      <c r="AU89" s="4" t="s">
        <v>201</v>
      </c>
      <c r="AV89" s="129"/>
      <c r="AW89" s="3" t="s">
        <v>112</v>
      </c>
      <c r="AX89" s="4" t="s">
        <v>111</v>
      </c>
      <c r="AY89" s="4">
        <v>14</v>
      </c>
      <c r="AZ89" s="4" t="s">
        <v>201</v>
      </c>
      <c r="BA89" s="129"/>
      <c r="BB89" s="3" t="s">
        <v>112</v>
      </c>
      <c r="BC89" s="4" t="s">
        <v>111</v>
      </c>
      <c r="BD89" s="4">
        <v>12</v>
      </c>
      <c r="BE89" s="4" t="s">
        <v>201</v>
      </c>
      <c r="BF89" s="129"/>
      <c r="BK89" s="129"/>
    </row>
    <row r="90" spans="3:63">
      <c r="C90" s="159" t="s">
        <v>212</v>
      </c>
      <c r="D90" s="17" t="s">
        <v>112</v>
      </c>
      <c r="E90" s="4" t="s">
        <v>111</v>
      </c>
      <c r="F90" s="4">
        <v>20</v>
      </c>
      <c r="G90" s="4" t="s">
        <v>201</v>
      </c>
      <c r="H90" s="129"/>
      <c r="I90" s="3" t="s">
        <v>112</v>
      </c>
      <c r="J90" s="4" t="s">
        <v>111</v>
      </c>
      <c r="K90" s="4">
        <v>18</v>
      </c>
      <c r="L90" s="4" t="s">
        <v>201</v>
      </c>
      <c r="M90" s="129"/>
      <c r="N90" s="3" t="s">
        <v>112</v>
      </c>
      <c r="O90" s="4" t="s">
        <v>111</v>
      </c>
      <c r="P90" s="4">
        <v>16</v>
      </c>
      <c r="Q90" s="4" t="s">
        <v>201</v>
      </c>
      <c r="R90" s="129"/>
      <c r="S90" s="3" t="s">
        <v>112</v>
      </c>
      <c r="T90" s="4" t="s">
        <v>111</v>
      </c>
      <c r="U90" s="4">
        <v>14</v>
      </c>
      <c r="V90" s="4" t="s">
        <v>201</v>
      </c>
      <c r="W90" s="129"/>
      <c r="X90" s="3" t="s">
        <v>112</v>
      </c>
      <c r="Y90" s="4" t="s">
        <v>111</v>
      </c>
      <c r="Z90" s="4">
        <v>12</v>
      </c>
      <c r="AA90" s="4" t="s">
        <v>201</v>
      </c>
      <c r="AB90" s="129"/>
      <c r="AC90" s="3" t="s">
        <v>112</v>
      </c>
      <c r="AD90" s="4" t="s">
        <v>111</v>
      </c>
      <c r="AE90" s="4">
        <v>10</v>
      </c>
      <c r="AF90" s="21" t="s">
        <v>201</v>
      </c>
      <c r="AG90" s="160" t="s">
        <v>210</v>
      </c>
      <c r="AH90" s="177"/>
      <c r="AI90" s="178"/>
      <c r="AJ90" s="33"/>
      <c r="AK90" s="36"/>
      <c r="AL90" s="129"/>
      <c r="AM90" s="3" t="s">
        <v>112</v>
      </c>
      <c r="AN90" s="4" t="s">
        <v>111</v>
      </c>
      <c r="AO90" s="4">
        <v>18</v>
      </c>
      <c r="AP90" s="4" t="s">
        <v>201</v>
      </c>
      <c r="AQ90" s="129"/>
      <c r="AR90" s="3" t="s">
        <v>112</v>
      </c>
      <c r="AS90" s="4" t="s">
        <v>111</v>
      </c>
      <c r="AT90" s="4">
        <v>16</v>
      </c>
      <c r="AU90" s="4" t="s">
        <v>201</v>
      </c>
      <c r="AV90" s="129"/>
      <c r="AW90" s="3" t="s">
        <v>112</v>
      </c>
      <c r="AX90" s="4" t="s">
        <v>111</v>
      </c>
      <c r="AY90" s="4">
        <v>14</v>
      </c>
      <c r="AZ90" s="4" t="s">
        <v>201</v>
      </c>
      <c r="BA90" s="179"/>
      <c r="BB90" s="35" t="s">
        <v>112</v>
      </c>
      <c r="BC90" s="4" t="s">
        <v>111</v>
      </c>
      <c r="BD90" s="4">
        <v>12</v>
      </c>
      <c r="BE90" s="4" t="s">
        <v>201</v>
      </c>
      <c r="BF90" s="129"/>
      <c r="BK90" s="129"/>
    </row>
    <row r="91" spans="3:63">
      <c r="C91" s="117"/>
      <c r="D91" s="118" t="s">
        <v>163</v>
      </c>
      <c r="E91" s="173"/>
      <c r="F91" s="173"/>
      <c r="G91" s="173"/>
      <c r="H91" s="129"/>
      <c r="I91" s="121" t="s">
        <v>163</v>
      </c>
      <c r="J91" s="173"/>
      <c r="K91" s="173"/>
      <c r="L91" s="173"/>
      <c r="M91" s="129"/>
      <c r="N91" s="121" t="s">
        <v>163</v>
      </c>
      <c r="O91" s="173"/>
      <c r="P91" s="173"/>
      <c r="Q91" s="173"/>
      <c r="R91" s="129"/>
      <c r="S91" s="121" t="s">
        <v>163</v>
      </c>
      <c r="T91" s="173"/>
      <c r="U91" s="173"/>
      <c r="V91" s="173"/>
      <c r="W91" s="129"/>
      <c r="X91" s="121" t="s">
        <v>163</v>
      </c>
      <c r="Y91" s="173"/>
      <c r="Z91" s="173"/>
      <c r="AA91" s="173"/>
      <c r="AB91" s="129"/>
      <c r="AC91" s="121" t="s">
        <v>163</v>
      </c>
      <c r="AD91" s="173"/>
      <c r="AE91" s="173"/>
      <c r="AF91" s="174"/>
      <c r="AG91" s="124"/>
      <c r="AH91" s="121" t="s">
        <v>163</v>
      </c>
      <c r="AI91" s="173"/>
      <c r="AJ91" s="173"/>
      <c r="AK91" s="173"/>
      <c r="AL91" s="129"/>
      <c r="AM91" s="121" t="s">
        <v>163</v>
      </c>
      <c r="AN91" s="173"/>
      <c r="AO91" s="173"/>
      <c r="AP91" s="173"/>
      <c r="AQ91" s="129"/>
      <c r="AR91" s="121" t="s">
        <v>163</v>
      </c>
      <c r="AS91" s="173"/>
      <c r="AT91" s="173"/>
      <c r="AU91" s="173"/>
      <c r="AV91" s="129"/>
      <c r="AW91" s="121" t="s">
        <v>163</v>
      </c>
      <c r="AX91" s="173"/>
      <c r="AY91" s="173"/>
      <c r="AZ91" s="173"/>
      <c r="BA91" s="129"/>
      <c r="BB91" s="121" t="s">
        <v>163</v>
      </c>
      <c r="BC91" s="173"/>
      <c r="BD91" s="173"/>
      <c r="BE91" s="173"/>
      <c r="BF91" s="129"/>
      <c r="BG91" s="121" t="s">
        <v>163</v>
      </c>
      <c r="BH91" s="173"/>
      <c r="BI91" s="173"/>
      <c r="BJ91" s="173"/>
      <c r="BK91" s="129"/>
    </row>
    <row r="92" spans="3:63">
      <c r="C92" s="134" t="s">
        <v>128</v>
      </c>
      <c r="D92" s="135" t="s">
        <v>99</v>
      </c>
      <c r="E92" s="136" t="s">
        <v>100</v>
      </c>
      <c r="F92" s="136" t="s">
        <v>101</v>
      </c>
      <c r="G92" s="136" t="s">
        <v>102</v>
      </c>
      <c r="H92" s="129"/>
      <c r="I92" s="137" t="s">
        <v>99</v>
      </c>
      <c r="J92" s="136" t="s">
        <v>100</v>
      </c>
      <c r="K92" s="136" t="s">
        <v>101</v>
      </c>
      <c r="L92" s="136" t="s">
        <v>102</v>
      </c>
      <c r="M92" s="129"/>
      <c r="N92" s="137" t="s">
        <v>99</v>
      </c>
      <c r="O92" s="136" t="s">
        <v>100</v>
      </c>
      <c r="P92" s="136" t="s">
        <v>101</v>
      </c>
      <c r="Q92" s="136" t="s">
        <v>102</v>
      </c>
      <c r="R92" s="129"/>
      <c r="S92" s="137" t="s">
        <v>99</v>
      </c>
      <c r="T92" s="136" t="s">
        <v>100</v>
      </c>
      <c r="U92" s="136" t="s">
        <v>101</v>
      </c>
      <c r="V92" s="136" t="s">
        <v>102</v>
      </c>
      <c r="W92" s="129"/>
      <c r="X92" s="137" t="s">
        <v>99</v>
      </c>
      <c r="Y92" s="136" t="s">
        <v>100</v>
      </c>
      <c r="Z92" s="136" t="s">
        <v>101</v>
      </c>
      <c r="AA92" s="136" t="s">
        <v>102</v>
      </c>
      <c r="AB92" s="129"/>
      <c r="AC92" s="137" t="s">
        <v>99</v>
      </c>
      <c r="AD92" s="136" t="s">
        <v>100</v>
      </c>
      <c r="AE92" s="136" t="s">
        <v>101</v>
      </c>
      <c r="AF92" s="138" t="s">
        <v>102</v>
      </c>
      <c r="AG92" s="139" t="s">
        <v>128</v>
      </c>
      <c r="AH92" s="137" t="s">
        <v>99</v>
      </c>
      <c r="AI92" s="136" t="s">
        <v>100</v>
      </c>
      <c r="AJ92" s="136" t="s">
        <v>101</v>
      </c>
      <c r="AK92" s="136" t="s">
        <v>102</v>
      </c>
      <c r="AL92" s="129"/>
      <c r="AM92" s="137" t="s">
        <v>99</v>
      </c>
      <c r="AN92" s="136" t="s">
        <v>100</v>
      </c>
      <c r="AO92" s="136" t="s">
        <v>101</v>
      </c>
      <c r="AP92" s="136" t="s">
        <v>102</v>
      </c>
      <c r="AQ92" s="129"/>
      <c r="AR92" s="137" t="s">
        <v>99</v>
      </c>
      <c r="AS92" s="136" t="s">
        <v>100</v>
      </c>
      <c r="AT92" s="136" t="s">
        <v>101</v>
      </c>
      <c r="AU92" s="136" t="s">
        <v>102</v>
      </c>
      <c r="AV92" s="129"/>
      <c r="AW92" s="137" t="s">
        <v>99</v>
      </c>
      <c r="AX92" s="136" t="s">
        <v>100</v>
      </c>
      <c r="AY92" s="136" t="s">
        <v>101</v>
      </c>
      <c r="AZ92" s="136" t="s">
        <v>102</v>
      </c>
      <c r="BA92" s="129"/>
      <c r="BB92" s="137" t="s">
        <v>99</v>
      </c>
      <c r="BC92" s="136" t="s">
        <v>100</v>
      </c>
      <c r="BD92" s="136" t="s">
        <v>101</v>
      </c>
      <c r="BE92" s="136" t="s">
        <v>102</v>
      </c>
      <c r="BF92" s="129"/>
      <c r="BG92" s="137" t="s">
        <v>99</v>
      </c>
      <c r="BH92" s="136" t="s">
        <v>100</v>
      </c>
      <c r="BI92" s="136" t="s">
        <v>101</v>
      </c>
      <c r="BJ92" s="136" t="s">
        <v>102</v>
      </c>
      <c r="BK92" s="129"/>
    </row>
    <row r="93" spans="3:63">
      <c r="C93" s="72">
        <v>1</v>
      </c>
      <c r="D93" s="17" t="str">
        <f>D24</f>
        <v>直立杠铃推举</v>
      </c>
      <c r="E93" s="20" t="s">
        <v>188</v>
      </c>
      <c r="H93" s="129"/>
      <c r="I93" s="3" t="str">
        <f>I24</f>
        <v>直立杠铃推举</v>
      </c>
      <c r="J93" s="20" t="s">
        <v>189</v>
      </c>
      <c r="M93" s="129"/>
      <c r="N93" s="3" t="str">
        <f>N24</f>
        <v>直立杠铃推举</v>
      </c>
      <c r="O93" s="20" t="s">
        <v>190</v>
      </c>
      <c r="P93" s="9"/>
      <c r="Q93" s="12"/>
      <c r="R93" s="129"/>
      <c r="S93" s="3" t="str">
        <f>S24</f>
        <v>直立杠铃推举</v>
      </c>
      <c r="T93" s="20" t="s">
        <v>191</v>
      </c>
      <c r="U93" s="9"/>
      <c r="V93" s="12"/>
      <c r="W93" s="129"/>
      <c r="X93" s="3" t="str">
        <f>X24</f>
        <v>直立杠铃推举</v>
      </c>
      <c r="Y93" s="20" t="s">
        <v>192</v>
      </c>
      <c r="Z93" s="9"/>
      <c r="AA93" s="12"/>
      <c r="AB93" s="129"/>
      <c r="AC93" s="3" t="str">
        <f>AC24</f>
        <v>直立杠铃推举</v>
      </c>
      <c r="AD93" s="140" t="s">
        <v>193</v>
      </c>
      <c r="AE93" s="141"/>
      <c r="AF93" s="142"/>
      <c r="AG93" s="143">
        <v>1</v>
      </c>
      <c r="AH93" s="3" t="str">
        <f>AH24</f>
        <v>直立杠铃推举</v>
      </c>
      <c r="AI93" s="4" t="s">
        <v>190</v>
      </c>
      <c r="AJ93" s="9"/>
      <c r="AK93" s="20"/>
      <c r="AL93" s="129"/>
      <c r="AM93" s="3" t="str">
        <f>AM24</f>
        <v>直立杠铃推举</v>
      </c>
      <c r="AN93" s="4" t="s">
        <v>191</v>
      </c>
      <c r="AO93" s="9"/>
      <c r="AP93" s="20"/>
      <c r="AQ93" s="129"/>
      <c r="AR93" s="3" t="str">
        <f>AR24</f>
        <v>直立杠铃推举</v>
      </c>
      <c r="AS93" s="20" t="s">
        <v>192</v>
      </c>
      <c r="AT93" s="9"/>
      <c r="AU93" s="20"/>
      <c r="AV93" s="129"/>
      <c r="AW93" s="3" t="str">
        <f>AW24</f>
        <v>直立杠铃推举</v>
      </c>
      <c r="AX93" s="20" t="s">
        <v>194</v>
      </c>
      <c r="AY93" s="9"/>
      <c r="AZ93" s="20"/>
      <c r="BA93" s="129"/>
      <c r="BB93" s="3" t="str">
        <f>BB24</f>
        <v>直立杠铃推举</v>
      </c>
      <c r="BC93" s="4" t="s">
        <v>195</v>
      </c>
      <c r="BD93" s="9"/>
      <c r="BE93" s="20"/>
      <c r="BF93" s="129"/>
      <c r="BG93" s="3" t="str">
        <f>BG24</f>
        <v>直立杠铃推举</v>
      </c>
      <c r="BH93" s="140" t="s">
        <v>193</v>
      </c>
      <c r="BI93" s="141"/>
      <c r="BJ93" s="142"/>
      <c r="BK93" s="129"/>
    </row>
    <row r="94" ht="15.95" customHeight="1" spans="3:63">
      <c r="C94" s="72">
        <v>1</v>
      </c>
      <c r="D94" s="144" t="s">
        <v>196</v>
      </c>
      <c r="E94" s="4">
        <f>ROUND($E$7*E24*0.2,0)*5</f>
        <v>155</v>
      </c>
      <c r="F94" s="4">
        <v>6</v>
      </c>
      <c r="G94" s="4" t="s">
        <v>105</v>
      </c>
      <c r="I94" s="145" t="s">
        <v>196</v>
      </c>
      <c r="J94" s="4">
        <f>ROUND($E$7*J24*0.2,0)*5</f>
        <v>170</v>
      </c>
      <c r="K94" s="4">
        <v>5</v>
      </c>
      <c r="L94" s="4" t="s">
        <v>105</v>
      </c>
      <c r="N94" s="145" t="s">
        <v>196</v>
      </c>
      <c r="O94" s="4">
        <f>ROUND($E$7*O24*0.2,0)*5</f>
        <v>180</v>
      </c>
      <c r="P94" s="4">
        <v>4</v>
      </c>
      <c r="Q94" s="4" t="s">
        <v>105</v>
      </c>
      <c r="R94" s="129"/>
      <c r="S94" s="145" t="s">
        <v>196</v>
      </c>
      <c r="T94" s="4">
        <f>ROUND($E$7*T24*0.2,0)*5</f>
        <v>200</v>
      </c>
      <c r="U94" s="4">
        <v>3</v>
      </c>
      <c r="V94" s="4" t="s">
        <v>105</v>
      </c>
      <c r="W94" s="129"/>
      <c r="X94" s="145" t="s">
        <v>196</v>
      </c>
      <c r="Y94" s="4">
        <f>ROUND($E$7*Y24*0.2,0)*5</f>
        <v>210</v>
      </c>
      <c r="Z94" s="4">
        <v>2</v>
      </c>
      <c r="AA94" s="4" t="s">
        <v>106</v>
      </c>
      <c r="AB94" s="129"/>
      <c r="AF94" s="21"/>
      <c r="AG94" s="146">
        <v>1</v>
      </c>
      <c r="AH94" s="147" t="s">
        <v>196</v>
      </c>
      <c r="AI94" s="148">
        <v>0.85</v>
      </c>
      <c r="AJ94" s="4">
        <v>3</v>
      </c>
      <c r="AK94" s="4" t="s">
        <v>107</v>
      </c>
      <c r="AL94" s="129"/>
      <c r="AM94" s="147" t="s">
        <v>196</v>
      </c>
      <c r="AN94" s="148">
        <v>0.85</v>
      </c>
      <c r="AO94" s="4">
        <v>2</v>
      </c>
      <c r="AP94" s="4" t="s">
        <v>107</v>
      </c>
      <c r="AQ94" s="129"/>
      <c r="AR94" s="147" t="s">
        <v>196</v>
      </c>
      <c r="AS94" s="148">
        <v>0.85</v>
      </c>
      <c r="AT94" s="4">
        <v>1</v>
      </c>
      <c r="AU94" s="4" t="s">
        <v>107</v>
      </c>
      <c r="AV94" s="129"/>
      <c r="AW94" s="147" t="s">
        <v>196</v>
      </c>
      <c r="AX94" s="148">
        <v>0.9</v>
      </c>
      <c r="AY94" s="4">
        <v>2</v>
      </c>
      <c r="AZ94" s="4" t="s">
        <v>105</v>
      </c>
      <c r="BA94" s="129"/>
      <c r="BB94" s="147" t="s">
        <v>196</v>
      </c>
      <c r="BC94" s="148">
        <v>0.9</v>
      </c>
      <c r="BD94" s="4">
        <v>1</v>
      </c>
      <c r="BE94" s="4" t="s">
        <v>105</v>
      </c>
      <c r="BF94" s="129"/>
      <c r="BG94" s="149"/>
      <c r="BK94" s="129"/>
    </row>
    <row r="95" spans="3:63">
      <c r="C95" s="72">
        <v>1</v>
      </c>
      <c r="D95" s="150" t="s">
        <v>197</v>
      </c>
      <c r="E95" s="151"/>
      <c r="F95" s="151"/>
      <c r="G95" s="151"/>
      <c r="H95" s="129"/>
      <c r="I95" s="152" t="s">
        <v>197</v>
      </c>
      <c r="J95" s="151"/>
      <c r="K95" s="151"/>
      <c r="L95" s="151"/>
      <c r="M95" s="129"/>
      <c r="N95" s="152" t="s">
        <v>197</v>
      </c>
      <c r="O95" s="151"/>
      <c r="P95" s="151"/>
      <c r="R95" s="129"/>
      <c r="S95" s="152" t="s">
        <v>197</v>
      </c>
      <c r="T95" s="180"/>
      <c r="W95" s="129"/>
      <c r="X95" s="152" t="s">
        <v>197</v>
      </c>
      <c r="Y95" s="180"/>
      <c r="AB95" s="129"/>
      <c r="AF95" s="21"/>
      <c r="AG95" s="146">
        <v>1</v>
      </c>
      <c r="AH95" s="153" t="s">
        <v>197</v>
      </c>
      <c r="AI95" s="151"/>
      <c r="AJ95" s="151"/>
      <c r="AK95" s="151"/>
      <c r="AL95" s="129"/>
      <c r="AM95" s="153" t="s">
        <v>197</v>
      </c>
      <c r="AN95" s="151"/>
      <c r="AO95" s="151"/>
      <c r="AP95" s="151"/>
      <c r="AQ95" s="129"/>
      <c r="AR95" s="153" t="s">
        <v>197</v>
      </c>
      <c r="AS95" s="151"/>
      <c r="AT95" s="151"/>
      <c r="AU95" s="151"/>
      <c r="AV95" s="129"/>
      <c r="AW95" s="153" t="s">
        <v>197</v>
      </c>
      <c r="AX95" s="151"/>
      <c r="AY95" s="151"/>
      <c r="AZ95" s="151"/>
      <c r="BA95" s="129"/>
      <c r="BB95" s="153" t="s">
        <v>197</v>
      </c>
      <c r="BC95" s="151"/>
      <c r="BD95" s="151"/>
      <c r="BE95" s="151"/>
      <c r="BF95" s="129"/>
      <c r="BK95" s="129"/>
    </row>
    <row r="96" spans="3:63">
      <c r="C96" s="72">
        <v>1</v>
      </c>
      <c r="D96" s="17" t="str">
        <f>D25</f>
        <v>弹弓卧推</v>
      </c>
      <c r="E96" s="20" t="s">
        <v>188</v>
      </c>
      <c r="G96" s="4" t="s">
        <v>217</v>
      </c>
      <c r="H96" s="129"/>
      <c r="I96" s="3" t="str">
        <f>I25</f>
        <v>弹弓卧推</v>
      </c>
      <c r="J96" s="20" t="s">
        <v>189</v>
      </c>
      <c r="L96" s="4" t="s">
        <v>217</v>
      </c>
      <c r="M96" s="129"/>
      <c r="N96" s="3" t="str">
        <f>N25</f>
        <v>弹弓卧推</v>
      </c>
      <c r="O96" s="20" t="s">
        <v>190</v>
      </c>
      <c r="Q96" s="4" t="s">
        <v>217</v>
      </c>
      <c r="R96" s="129"/>
      <c r="S96" s="3" t="str">
        <f>S25</f>
        <v>弹弓卧推</v>
      </c>
      <c r="T96" s="20" t="s">
        <v>191</v>
      </c>
      <c r="V96" s="4" t="s">
        <v>217</v>
      </c>
      <c r="W96" s="129"/>
      <c r="X96" s="3" t="str">
        <f>X25</f>
        <v>弹弓卧推</v>
      </c>
      <c r="Y96" s="20" t="s">
        <v>192</v>
      </c>
      <c r="AA96" s="4" t="s">
        <v>217</v>
      </c>
      <c r="AB96" s="129"/>
      <c r="AC96" s="3" t="str">
        <f>AC25</f>
        <v>弹弓卧推</v>
      </c>
      <c r="AD96" s="140" t="s">
        <v>193</v>
      </c>
      <c r="AE96" s="141"/>
      <c r="AF96" s="142"/>
      <c r="AG96" s="146">
        <v>1</v>
      </c>
      <c r="AH96" s="3" t="str">
        <f>AH25</f>
        <v>弹弓卧推</v>
      </c>
      <c r="AI96" s="20" t="s">
        <v>218</v>
      </c>
      <c r="AK96" s="4" t="s">
        <v>217</v>
      </c>
      <c r="AL96" s="157"/>
      <c r="AM96" s="3" t="str">
        <f>AM25</f>
        <v>弹弓卧推</v>
      </c>
      <c r="AN96" s="4" t="s">
        <v>191</v>
      </c>
      <c r="AP96" s="4" t="s">
        <v>217</v>
      </c>
      <c r="AQ96" s="157"/>
      <c r="AR96" s="3" t="str">
        <f>AR25</f>
        <v>弹弓卧推</v>
      </c>
      <c r="AS96" s="20" t="s">
        <v>192</v>
      </c>
      <c r="AU96" s="4" t="s">
        <v>219</v>
      </c>
      <c r="AV96" s="157"/>
      <c r="AW96" s="3" t="str">
        <f>AW25</f>
        <v>弹弓卧推</v>
      </c>
      <c r="AX96" s="20" t="s">
        <v>194</v>
      </c>
      <c r="AZ96" s="4" t="s">
        <v>201</v>
      </c>
      <c r="BA96" s="157"/>
      <c r="BB96" s="3" t="str">
        <f>BB25</f>
        <v>弹弓卧推</v>
      </c>
      <c r="BC96" s="4" t="s">
        <v>195</v>
      </c>
      <c r="BE96" s="4" t="s">
        <v>219</v>
      </c>
      <c r="BF96" s="157"/>
      <c r="BG96" s="3" t="str">
        <f>BG25</f>
        <v>弹弓卧推</v>
      </c>
      <c r="BH96" s="140" t="s">
        <v>193</v>
      </c>
      <c r="BI96" s="141"/>
      <c r="BJ96" s="142"/>
      <c r="BK96" s="157"/>
    </row>
    <row r="97" spans="3:63">
      <c r="C97" s="72">
        <v>1</v>
      </c>
      <c r="D97" s="144" t="s">
        <v>196</v>
      </c>
      <c r="E97" s="20"/>
      <c r="H97" s="129"/>
      <c r="I97" s="145" t="s">
        <v>196</v>
      </c>
      <c r="J97" s="20"/>
      <c r="M97" s="129"/>
      <c r="N97" s="145" t="s">
        <v>196</v>
      </c>
      <c r="O97" s="20"/>
      <c r="R97" s="129"/>
      <c r="S97" s="145" t="s">
        <v>196</v>
      </c>
      <c r="T97" s="20"/>
      <c r="W97" s="129"/>
      <c r="X97" s="145" t="s">
        <v>196</v>
      </c>
      <c r="Y97" s="20"/>
      <c r="AB97" s="129"/>
      <c r="AC97" s="149"/>
      <c r="AD97" s="93"/>
      <c r="AF97" s="21"/>
      <c r="AG97" s="146">
        <v>1</v>
      </c>
      <c r="AH97" s="147" t="s">
        <v>220</v>
      </c>
      <c r="AL97" s="157"/>
      <c r="AM97" s="147" t="s">
        <v>196</v>
      </c>
      <c r="AN97" s="20"/>
      <c r="AQ97" s="157"/>
      <c r="AR97" s="147" t="s">
        <v>196</v>
      </c>
      <c r="AS97" s="20"/>
      <c r="AV97" s="157"/>
      <c r="AW97" s="147" t="s">
        <v>196</v>
      </c>
      <c r="AX97" s="20"/>
      <c r="BA97" s="157"/>
      <c r="BB97" s="147" t="s">
        <v>196</v>
      </c>
      <c r="BC97" s="20"/>
      <c r="BF97" s="157"/>
      <c r="BG97" s="155" t="s">
        <v>168</v>
      </c>
      <c r="BH97" s="93"/>
      <c r="BK97" s="157"/>
    </row>
    <row r="98" spans="3:63">
      <c r="C98" s="72">
        <v>1</v>
      </c>
      <c r="D98" s="150" t="s">
        <v>197</v>
      </c>
      <c r="H98" s="129"/>
      <c r="I98" s="152" t="s">
        <v>197</v>
      </c>
      <c r="M98" s="129"/>
      <c r="N98" s="152" t="s">
        <v>197</v>
      </c>
      <c r="R98" s="129"/>
      <c r="S98" s="152" t="s">
        <v>197</v>
      </c>
      <c r="W98" s="129"/>
      <c r="X98" s="152" t="s">
        <v>197</v>
      </c>
      <c r="AB98" s="129"/>
      <c r="AC98" s="149"/>
      <c r="AF98" s="21"/>
      <c r="AG98" s="146">
        <v>1</v>
      </c>
      <c r="AH98" s="153" t="s">
        <v>221</v>
      </c>
      <c r="AL98" s="157"/>
      <c r="AM98" s="153" t="s">
        <v>221</v>
      </c>
      <c r="AQ98" s="157"/>
      <c r="AR98" s="153" t="s">
        <v>221</v>
      </c>
      <c r="AV98" s="157"/>
      <c r="AW98" s="153" t="s">
        <v>221</v>
      </c>
      <c r="BA98" s="157"/>
      <c r="BB98" s="153" t="s">
        <v>221</v>
      </c>
      <c r="BF98" s="157"/>
      <c r="BK98" s="157"/>
    </row>
    <row r="99" spans="3:63">
      <c r="C99" s="89" t="s">
        <v>198</v>
      </c>
      <c r="D99" s="17" t="str">
        <f>D43</f>
        <v>无腿卧推</v>
      </c>
      <c r="E99" s="4">
        <f>ROUND($E$5*E$43*0.2,0)*5</f>
        <v>95</v>
      </c>
      <c r="F99" s="4">
        <v>10</v>
      </c>
      <c r="G99" s="4">
        <v>4</v>
      </c>
      <c r="H99" s="129"/>
      <c r="I99" s="3" t="str">
        <f>I43</f>
        <v>无腿卧推</v>
      </c>
      <c r="J99" s="4">
        <f>ROUND($E$5*J$43*0.2,0)*5</f>
        <v>110</v>
      </c>
      <c r="K99" s="4">
        <v>8</v>
      </c>
      <c r="L99" s="4">
        <v>4</v>
      </c>
      <c r="M99" s="129"/>
      <c r="N99" s="3" t="str">
        <f>N43</f>
        <v>无腿卧推</v>
      </c>
      <c r="O99" s="4">
        <f>ROUND($E$5*O$43*0.2,0)*5</f>
        <v>120</v>
      </c>
      <c r="P99" s="4">
        <v>6</v>
      </c>
      <c r="Q99" s="4">
        <v>4</v>
      </c>
      <c r="R99" s="129"/>
      <c r="S99" s="3" t="str">
        <f>S43</f>
        <v>无腿卧推</v>
      </c>
      <c r="T99" s="4">
        <f>ROUND($E$5*T$43*0.2,0)*5</f>
        <v>125</v>
      </c>
      <c r="U99" s="4">
        <v>4</v>
      </c>
      <c r="V99" s="4">
        <v>5</v>
      </c>
      <c r="W99" s="129"/>
      <c r="X99" s="3" t="str">
        <f>X43</f>
        <v>无腿卧推</v>
      </c>
      <c r="Y99" s="4">
        <f>ROUND($E$5*Y$43*0.2,0)*5</f>
        <v>130</v>
      </c>
      <c r="Z99" s="4">
        <v>2</v>
      </c>
      <c r="AA99" s="4">
        <v>7</v>
      </c>
      <c r="AB99" s="129"/>
      <c r="AC99" s="155" t="str">
        <f>AC43</f>
        <v>休息，不做二级辅助</v>
      </c>
      <c r="AF99" s="21"/>
      <c r="AG99" s="156" t="s">
        <v>198</v>
      </c>
      <c r="AH99" s="3" t="str">
        <f>AH43</f>
        <v>无腿卧推</v>
      </c>
      <c r="AI99" s="4">
        <f>ROUND($AI$5*AI$43*0.2,0)*5</f>
        <v>210</v>
      </c>
      <c r="AJ99" s="4">
        <v>6</v>
      </c>
      <c r="AK99" s="4">
        <v>5</v>
      </c>
      <c r="AL99" s="129"/>
      <c r="AM99" s="3" t="str">
        <f>AM43</f>
        <v>无腿卧推</v>
      </c>
      <c r="AN99" s="4">
        <f>ROUND($AI$5*AN$43*0.2,0)*5</f>
        <v>230</v>
      </c>
      <c r="AO99" s="4">
        <v>5</v>
      </c>
      <c r="AP99" s="4">
        <v>5</v>
      </c>
      <c r="AQ99" s="129"/>
      <c r="AR99" s="3" t="str">
        <f>AR43</f>
        <v>无腿卧推</v>
      </c>
      <c r="AS99" s="4">
        <f>ROUND($AI$5*AS$43*0.2,0)*5</f>
        <v>245</v>
      </c>
      <c r="AT99" s="4">
        <v>4</v>
      </c>
      <c r="AU99" s="4">
        <v>5</v>
      </c>
      <c r="AV99" s="129"/>
      <c r="AW99" s="3" t="str">
        <f>AW43</f>
        <v>无腿卧推</v>
      </c>
      <c r="AX99" s="4">
        <f>ROUND($AI$5*AX$43*0.2,0)*5</f>
        <v>250</v>
      </c>
      <c r="AY99" s="4">
        <v>3</v>
      </c>
      <c r="AZ99" s="4">
        <v>6</v>
      </c>
      <c r="BA99" s="129"/>
      <c r="BB99" s="3" t="str">
        <f>BB43</f>
        <v>无腿卧推</v>
      </c>
      <c r="BC99" s="4">
        <f>ROUND($AI$5*BC$43*0.2,0)*5</f>
        <v>260</v>
      </c>
      <c r="BD99" s="4">
        <v>2</v>
      </c>
      <c r="BE99" s="4">
        <v>7</v>
      </c>
      <c r="BF99" s="129"/>
      <c r="BK99" s="129"/>
    </row>
    <row r="100" spans="3:63">
      <c r="C100" s="89" t="s">
        <v>199</v>
      </c>
      <c r="D100" s="17" t="s">
        <v>169</v>
      </c>
      <c r="E100" s="4" t="s">
        <v>111</v>
      </c>
      <c r="F100" s="4">
        <v>15</v>
      </c>
      <c r="G100" s="4" t="s">
        <v>201</v>
      </c>
      <c r="H100" s="129"/>
      <c r="I100" s="3" t="s">
        <v>169</v>
      </c>
      <c r="J100" s="4" t="s">
        <v>111</v>
      </c>
      <c r="K100" s="4">
        <v>12</v>
      </c>
      <c r="L100" s="4" t="s">
        <v>201</v>
      </c>
      <c r="M100" s="129"/>
      <c r="N100" s="3" t="s">
        <v>169</v>
      </c>
      <c r="O100" s="4" t="s">
        <v>111</v>
      </c>
      <c r="P100" s="4">
        <v>10</v>
      </c>
      <c r="Q100" s="4" t="s">
        <v>201</v>
      </c>
      <c r="R100" s="129"/>
      <c r="S100" s="3" t="s">
        <v>169</v>
      </c>
      <c r="T100" s="4" t="s">
        <v>111</v>
      </c>
      <c r="U100" s="4">
        <v>8</v>
      </c>
      <c r="V100" s="4" t="s">
        <v>201</v>
      </c>
      <c r="W100" s="129"/>
      <c r="X100" s="3" t="s">
        <v>169</v>
      </c>
      <c r="Y100" s="4" t="s">
        <v>111</v>
      </c>
      <c r="Z100" s="4">
        <v>6</v>
      </c>
      <c r="AA100" s="4" t="s">
        <v>201</v>
      </c>
      <c r="AB100" s="129"/>
      <c r="AF100" s="21"/>
      <c r="AG100" s="156"/>
      <c r="AI100" s="93"/>
      <c r="AL100" s="129"/>
      <c r="AQ100" s="129"/>
      <c r="AS100" s="93"/>
      <c r="AV100" s="129"/>
      <c r="BA100" s="129"/>
      <c r="BB100" s="155" t="s">
        <v>202</v>
      </c>
      <c r="BC100" s="93"/>
      <c r="BF100" s="129"/>
      <c r="BK100" s="129"/>
    </row>
    <row r="101" spans="3:63">
      <c r="C101" s="159" t="s">
        <v>206</v>
      </c>
      <c r="D101" s="17" t="s">
        <v>124</v>
      </c>
      <c r="E101" s="4" t="s">
        <v>111</v>
      </c>
      <c r="F101" s="4">
        <v>20</v>
      </c>
      <c r="G101" s="4" t="s">
        <v>201</v>
      </c>
      <c r="H101" s="129"/>
      <c r="I101" s="3" t="s">
        <v>124</v>
      </c>
      <c r="J101" s="4" t="s">
        <v>111</v>
      </c>
      <c r="K101" s="4">
        <v>18</v>
      </c>
      <c r="L101" s="4" t="s">
        <v>201</v>
      </c>
      <c r="M101" s="129"/>
      <c r="N101" s="3" t="s">
        <v>124</v>
      </c>
      <c r="O101" s="4" t="s">
        <v>111</v>
      </c>
      <c r="P101" s="4">
        <v>16</v>
      </c>
      <c r="Q101" s="4" t="s">
        <v>201</v>
      </c>
      <c r="R101" s="129"/>
      <c r="S101" s="3" t="s">
        <v>124</v>
      </c>
      <c r="T101" s="4" t="s">
        <v>111</v>
      </c>
      <c r="U101" s="4">
        <v>14</v>
      </c>
      <c r="V101" s="4" t="s">
        <v>201</v>
      </c>
      <c r="W101" s="129"/>
      <c r="X101" s="3" t="s">
        <v>124</v>
      </c>
      <c r="Y101" s="4" t="s">
        <v>111</v>
      </c>
      <c r="Z101" s="4">
        <v>12</v>
      </c>
      <c r="AA101" s="4" t="s">
        <v>201</v>
      </c>
      <c r="AB101" s="129"/>
      <c r="AC101" s="3" t="s">
        <v>124</v>
      </c>
      <c r="AD101" s="4" t="s">
        <v>111</v>
      </c>
      <c r="AE101" s="4">
        <v>10</v>
      </c>
      <c r="AF101" s="21" t="s">
        <v>201</v>
      </c>
      <c r="AG101" s="160" t="s">
        <v>206</v>
      </c>
      <c r="AH101" s="158" t="s">
        <v>205</v>
      </c>
      <c r="AL101" s="129"/>
      <c r="AM101" s="3" t="s">
        <v>222</v>
      </c>
      <c r="AN101" s="4" t="s">
        <v>111</v>
      </c>
      <c r="AO101" s="4">
        <v>18</v>
      </c>
      <c r="AP101" s="4" t="s">
        <v>201</v>
      </c>
      <c r="AQ101" s="129"/>
      <c r="AR101" s="3" t="s">
        <v>222</v>
      </c>
      <c r="AS101" s="4" t="s">
        <v>111</v>
      </c>
      <c r="AT101" s="4">
        <v>16</v>
      </c>
      <c r="AU101" s="4" t="s">
        <v>201</v>
      </c>
      <c r="AV101" s="129"/>
      <c r="AW101" s="3" t="s">
        <v>222</v>
      </c>
      <c r="AX101" s="4" t="s">
        <v>111</v>
      </c>
      <c r="AY101" s="4">
        <v>14</v>
      </c>
      <c r="AZ101" s="4" t="s">
        <v>201</v>
      </c>
      <c r="BA101" s="129"/>
      <c r="BF101" s="129"/>
      <c r="BG101" s="158" t="s">
        <v>205</v>
      </c>
      <c r="BK101" s="129"/>
    </row>
    <row r="102" spans="3:63">
      <c r="C102" s="159" t="s">
        <v>208</v>
      </c>
      <c r="D102" s="17" t="s">
        <v>213</v>
      </c>
      <c r="E102" s="4" t="s">
        <v>111</v>
      </c>
      <c r="F102" s="4">
        <v>20</v>
      </c>
      <c r="G102" s="4" t="s">
        <v>201</v>
      </c>
      <c r="H102" s="129"/>
      <c r="I102" s="3" t="s">
        <v>213</v>
      </c>
      <c r="J102" s="4" t="s">
        <v>111</v>
      </c>
      <c r="K102" s="4">
        <v>18</v>
      </c>
      <c r="L102" s="4" t="s">
        <v>201</v>
      </c>
      <c r="M102" s="129"/>
      <c r="N102" s="3" t="s">
        <v>213</v>
      </c>
      <c r="O102" s="4" t="s">
        <v>111</v>
      </c>
      <c r="P102" s="4">
        <v>16</v>
      </c>
      <c r="Q102" s="4" t="s">
        <v>201</v>
      </c>
      <c r="R102" s="129"/>
      <c r="S102" s="3" t="s">
        <v>213</v>
      </c>
      <c r="T102" s="4" t="s">
        <v>111</v>
      </c>
      <c r="U102" s="4">
        <v>14</v>
      </c>
      <c r="V102" s="4" t="s">
        <v>201</v>
      </c>
      <c r="W102" s="129"/>
      <c r="X102" s="3" t="s">
        <v>213</v>
      </c>
      <c r="Y102" s="4" t="s">
        <v>111</v>
      </c>
      <c r="Z102" s="4">
        <v>12</v>
      </c>
      <c r="AA102" s="4" t="s">
        <v>201</v>
      </c>
      <c r="AB102" s="129"/>
      <c r="AC102" s="3" t="s">
        <v>213</v>
      </c>
      <c r="AD102" s="4" t="s">
        <v>111</v>
      </c>
      <c r="AE102" s="4">
        <v>10</v>
      </c>
      <c r="AF102" s="21" t="s">
        <v>201</v>
      </c>
      <c r="AG102" s="160" t="s">
        <v>208</v>
      </c>
      <c r="AH102" s="181"/>
      <c r="AK102" s="21"/>
      <c r="AL102" s="129"/>
      <c r="AM102" s="3" t="s">
        <v>124</v>
      </c>
      <c r="AN102" s="4" t="s">
        <v>111</v>
      </c>
      <c r="AO102" s="4">
        <v>18</v>
      </c>
      <c r="AP102" s="4" t="s">
        <v>201</v>
      </c>
      <c r="AQ102" s="129"/>
      <c r="AR102" s="3" t="s">
        <v>124</v>
      </c>
      <c r="AS102" s="4" t="s">
        <v>111</v>
      </c>
      <c r="AT102" s="4">
        <v>16</v>
      </c>
      <c r="AU102" s="4" t="s">
        <v>201</v>
      </c>
      <c r="AV102" s="129"/>
      <c r="AW102" s="3" t="s">
        <v>124</v>
      </c>
      <c r="AX102" s="4" t="s">
        <v>111</v>
      </c>
      <c r="AY102" s="4">
        <v>14</v>
      </c>
      <c r="AZ102" s="4" t="s">
        <v>201</v>
      </c>
      <c r="BA102" s="129"/>
      <c r="BF102" s="129"/>
      <c r="BK102" s="182"/>
    </row>
    <row r="103" spans="3:63">
      <c r="C103" s="159" t="s">
        <v>210</v>
      </c>
      <c r="D103" s="17" t="s">
        <v>121</v>
      </c>
      <c r="E103" s="4" t="s">
        <v>111</v>
      </c>
      <c r="F103" s="4">
        <v>20</v>
      </c>
      <c r="G103" s="4" t="s">
        <v>201</v>
      </c>
      <c r="H103" s="129"/>
      <c r="I103" s="17" t="s">
        <v>121</v>
      </c>
      <c r="J103" s="4" t="s">
        <v>111</v>
      </c>
      <c r="K103" s="4">
        <v>18</v>
      </c>
      <c r="L103" s="4" t="s">
        <v>201</v>
      </c>
      <c r="M103" s="129"/>
      <c r="N103" s="17" t="s">
        <v>121</v>
      </c>
      <c r="O103" s="4" t="s">
        <v>111</v>
      </c>
      <c r="P103" s="4">
        <v>16</v>
      </c>
      <c r="Q103" s="4" t="s">
        <v>201</v>
      </c>
      <c r="R103" s="129"/>
      <c r="S103" s="17" t="s">
        <v>121</v>
      </c>
      <c r="T103" s="4" t="s">
        <v>111</v>
      </c>
      <c r="U103" s="4">
        <v>14</v>
      </c>
      <c r="V103" s="4" t="s">
        <v>201</v>
      </c>
      <c r="W103" s="129"/>
      <c r="X103" s="17" t="s">
        <v>121</v>
      </c>
      <c r="Y103" s="4" t="s">
        <v>111</v>
      </c>
      <c r="Z103" s="4">
        <v>12</v>
      </c>
      <c r="AA103" s="4" t="s">
        <v>201</v>
      </c>
      <c r="AB103" s="129"/>
      <c r="AC103" s="17" t="s">
        <v>121</v>
      </c>
      <c r="AD103" s="4" t="s">
        <v>111</v>
      </c>
      <c r="AE103" s="4">
        <v>10</v>
      </c>
      <c r="AF103" s="21" t="s">
        <v>201</v>
      </c>
      <c r="AG103" s="160" t="s">
        <v>210</v>
      </c>
      <c r="AH103" s="176"/>
      <c r="AI103" s="88"/>
      <c r="AK103" s="21"/>
      <c r="AL103" s="129"/>
      <c r="AM103" s="17" t="s">
        <v>121</v>
      </c>
      <c r="AN103" s="4" t="s">
        <v>111</v>
      </c>
      <c r="AO103" s="4">
        <v>18</v>
      </c>
      <c r="AP103" s="4" t="s">
        <v>201</v>
      </c>
      <c r="AQ103" s="129"/>
      <c r="AR103" s="17" t="s">
        <v>121</v>
      </c>
      <c r="AS103" s="4" t="s">
        <v>111</v>
      </c>
      <c r="AT103" s="4">
        <v>16</v>
      </c>
      <c r="AU103" s="4" t="s">
        <v>201</v>
      </c>
      <c r="AV103" s="129"/>
      <c r="AW103" s="17" t="s">
        <v>121</v>
      </c>
      <c r="AX103" s="4" t="s">
        <v>111</v>
      </c>
      <c r="AY103" s="4">
        <v>14</v>
      </c>
      <c r="AZ103" s="4" t="s">
        <v>201</v>
      </c>
      <c r="BA103" s="129"/>
      <c r="BB103" s="17" t="s">
        <v>121</v>
      </c>
      <c r="BC103" s="4" t="s">
        <v>111</v>
      </c>
      <c r="BD103" s="4">
        <v>12</v>
      </c>
      <c r="BE103" s="4" t="s">
        <v>201</v>
      </c>
      <c r="BF103" s="129"/>
      <c r="BK103" s="129"/>
    </row>
    <row r="104" spans="3:63">
      <c r="C104" s="159" t="s">
        <v>212</v>
      </c>
      <c r="D104" s="37" t="s">
        <v>118</v>
      </c>
      <c r="E104" s="33" t="s">
        <v>111</v>
      </c>
      <c r="F104" s="33">
        <v>20</v>
      </c>
      <c r="G104" s="36" t="s">
        <v>201</v>
      </c>
      <c r="H104" s="183"/>
      <c r="I104" s="37" t="s">
        <v>118</v>
      </c>
      <c r="J104" s="33" t="s">
        <v>111</v>
      </c>
      <c r="K104" s="33">
        <v>18</v>
      </c>
      <c r="L104" s="36" t="s">
        <v>201</v>
      </c>
      <c r="M104" s="183"/>
      <c r="N104" s="37" t="s">
        <v>118</v>
      </c>
      <c r="O104" s="33" t="s">
        <v>111</v>
      </c>
      <c r="P104" s="33">
        <v>16</v>
      </c>
      <c r="Q104" s="36" t="s">
        <v>201</v>
      </c>
      <c r="R104" s="183"/>
      <c r="S104" s="37" t="s">
        <v>118</v>
      </c>
      <c r="T104" s="33" t="s">
        <v>111</v>
      </c>
      <c r="U104" s="33">
        <v>14</v>
      </c>
      <c r="V104" s="36" t="s">
        <v>201</v>
      </c>
      <c r="W104" s="183"/>
      <c r="X104" s="37" t="s">
        <v>118</v>
      </c>
      <c r="Y104" s="33" t="s">
        <v>111</v>
      </c>
      <c r="Z104" s="33">
        <v>12</v>
      </c>
      <c r="AA104" s="36" t="s">
        <v>201</v>
      </c>
      <c r="AB104" s="183"/>
      <c r="AC104" s="37" t="s">
        <v>118</v>
      </c>
      <c r="AD104" s="33" t="s">
        <v>111</v>
      </c>
      <c r="AE104" s="33">
        <v>10</v>
      </c>
      <c r="AF104" s="36" t="s">
        <v>201</v>
      </c>
      <c r="AG104" s="184" t="s">
        <v>212</v>
      </c>
      <c r="AH104" s="177"/>
      <c r="AI104" s="178"/>
      <c r="AJ104" s="33"/>
      <c r="AK104" s="36"/>
      <c r="AL104" s="183"/>
      <c r="AM104" s="37" t="s">
        <v>118</v>
      </c>
      <c r="AN104" s="33" t="s">
        <v>111</v>
      </c>
      <c r="AO104" s="33">
        <v>18</v>
      </c>
      <c r="AP104" s="33" t="s">
        <v>201</v>
      </c>
      <c r="AQ104" s="183"/>
      <c r="AR104" s="37" t="s">
        <v>118</v>
      </c>
      <c r="AS104" s="33" t="s">
        <v>111</v>
      </c>
      <c r="AT104" s="33">
        <v>16</v>
      </c>
      <c r="AU104" s="33" t="s">
        <v>201</v>
      </c>
      <c r="AV104" s="183"/>
      <c r="AW104" s="37" t="s">
        <v>118</v>
      </c>
      <c r="AX104" s="33" t="s">
        <v>111</v>
      </c>
      <c r="AY104" s="33">
        <v>14</v>
      </c>
      <c r="AZ104" s="33" t="s">
        <v>201</v>
      </c>
      <c r="BA104" s="183"/>
      <c r="BB104" s="37" t="s">
        <v>118</v>
      </c>
      <c r="BC104" s="33" t="s">
        <v>111</v>
      </c>
      <c r="BD104" s="33">
        <v>12</v>
      </c>
      <c r="BE104" s="33" t="s">
        <v>201</v>
      </c>
      <c r="BF104" s="183"/>
      <c r="BG104" s="35"/>
      <c r="BH104" s="33"/>
      <c r="BI104" s="33"/>
      <c r="BJ104" s="33"/>
      <c r="BK104" s="183"/>
    </row>
    <row r="105" hidden="1" customHeight="1" spans="3:63">
      <c r="C105" s="185"/>
      <c r="D105" s="130" t="s">
        <v>164</v>
      </c>
      <c r="E105" s="128"/>
      <c r="F105" s="128"/>
      <c r="G105" s="128"/>
      <c r="H105" s="129"/>
      <c r="I105" s="130" t="s">
        <v>164</v>
      </c>
      <c r="J105" s="128"/>
      <c r="K105" s="4" t="s">
        <v>24</v>
      </c>
      <c r="L105" s="4">
        <v>4</v>
      </c>
      <c r="M105" s="129"/>
      <c r="N105" s="130" t="s">
        <v>164</v>
      </c>
      <c r="O105" s="128"/>
      <c r="P105" s="128"/>
      <c r="Q105" s="128"/>
      <c r="R105" s="129"/>
      <c r="S105" s="130" t="s">
        <v>164</v>
      </c>
      <c r="T105" s="128"/>
      <c r="U105" s="128"/>
      <c r="V105" s="128"/>
      <c r="W105" s="129"/>
      <c r="X105" s="130" t="s">
        <v>164</v>
      </c>
      <c r="Y105" s="128"/>
      <c r="Z105" s="128"/>
      <c r="AA105" s="128"/>
      <c r="AB105" s="129"/>
      <c r="AC105" s="130" t="s">
        <v>164</v>
      </c>
      <c r="AD105" s="128"/>
      <c r="AE105" s="128"/>
      <c r="AF105" s="128"/>
      <c r="AG105" s="186"/>
      <c r="AH105" s="177"/>
      <c r="AI105" s="178"/>
      <c r="AJ105" s="33"/>
      <c r="AK105" s="36"/>
      <c r="AL105" s="129"/>
      <c r="AN105" s="4" t="s">
        <v>111</v>
      </c>
      <c r="AO105" s="4">
        <v>18</v>
      </c>
      <c r="AP105" s="4" t="s">
        <v>201</v>
      </c>
      <c r="AQ105" s="129"/>
      <c r="AS105" s="4" t="s">
        <v>111</v>
      </c>
      <c r="AT105" s="4">
        <v>16</v>
      </c>
      <c r="AU105" s="4" t="s">
        <v>201</v>
      </c>
      <c r="AV105" s="129"/>
      <c r="AX105" s="4" t="s">
        <v>111</v>
      </c>
      <c r="AY105" s="4">
        <v>14</v>
      </c>
      <c r="AZ105" s="4" t="s">
        <v>201</v>
      </c>
      <c r="BA105" s="129"/>
      <c r="BC105" s="4" t="s">
        <v>111</v>
      </c>
      <c r="BD105" s="4">
        <v>12</v>
      </c>
      <c r="BE105" s="4" t="s">
        <v>201</v>
      </c>
      <c r="BF105" s="129"/>
      <c r="BK105" s="129"/>
    </row>
    <row r="106" hidden="1" customHeight="1" spans="3:63">
      <c r="C106" s="187" t="s">
        <v>128</v>
      </c>
      <c r="D106" s="137" t="s">
        <v>99</v>
      </c>
      <c r="E106" s="136" t="s">
        <v>100</v>
      </c>
      <c r="F106" s="136" t="s">
        <v>101</v>
      </c>
      <c r="G106" s="136" t="s">
        <v>102</v>
      </c>
      <c r="H106" s="129"/>
      <c r="I106" s="137" t="s">
        <v>99</v>
      </c>
      <c r="J106" s="136" t="s">
        <v>100</v>
      </c>
      <c r="K106" s="136" t="s">
        <v>101</v>
      </c>
      <c r="L106" s="136" t="s">
        <v>102</v>
      </c>
      <c r="M106" s="129"/>
      <c r="N106" s="137" t="s">
        <v>99</v>
      </c>
      <c r="O106" s="136" t="s">
        <v>100</v>
      </c>
      <c r="P106" s="136" t="s">
        <v>101</v>
      </c>
      <c r="Q106" s="136" t="s">
        <v>102</v>
      </c>
      <c r="R106" s="129"/>
      <c r="S106" s="137" t="s">
        <v>99</v>
      </c>
      <c r="T106" s="136" t="s">
        <v>100</v>
      </c>
      <c r="U106" s="136" t="s">
        <v>101</v>
      </c>
      <c r="V106" s="136" t="s">
        <v>102</v>
      </c>
      <c r="W106" s="129"/>
      <c r="X106" s="137" t="s">
        <v>99</v>
      </c>
      <c r="Y106" s="136" t="s">
        <v>100</v>
      </c>
      <c r="Z106" s="136" t="s">
        <v>101</v>
      </c>
      <c r="AA106" s="136" t="s">
        <v>102</v>
      </c>
      <c r="AB106" s="129"/>
      <c r="AC106" s="137" t="s">
        <v>99</v>
      </c>
      <c r="AD106" s="136" t="s">
        <v>100</v>
      </c>
      <c r="AE106" s="136" t="s">
        <v>101</v>
      </c>
      <c r="AF106" s="136" t="s">
        <v>102</v>
      </c>
      <c r="AG106" s="186"/>
      <c r="AH106" s="137" t="s">
        <v>99</v>
      </c>
      <c r="AI106" s="136" t="s">
        <v>100</v>
      </c>
      <c r="AJ106" s="136" t="s">
        <v>101</v>
      </c>
      <c r="AK106" s="136" t="s">
        <v>102</v>
      </c>
      <c r="AL106" s="129"/>
      <c r="AM106" s="137" t="s">
        <v>99</v>
      </c>
      <c r="AN106" s="136" t="s">
        <v>100</v>
      </c>
      <c r="AO106" s="136" t="s">
        <v>101</v>
      </c>
      <c r="AP106" s="136" t="s">
        <v>102</v>
      </c>
      <c r="AQ106" s="129"/>
      <c r="AR106" s="137" t="s">
        <v>99</v>
      </c>
      <c r="AS106" s="136" t="s">
        <v>100</v>
      </c>
      <c r="AT106" s="136" t="s">
        <v>101</v>
      </c>
      <c r="AU106" s="136" t="s">
        <v>102</v>
      </c>
      <c r="AV106" s="129"/>
      <c r="AW106" s="137" t="s">
        <v>99</v>
      </c>
      <c r="AX106" s="136" t="s">
        <v>100</v>
      </c>
      <c r="AY106" s="136" t="s">
        <v>101</v>
      </c>
      <c r="AZ106" s="136" t="s">
        <v>102</v>
      </c>
      <c r="BA106" s="129"/>
      <c r="BB106" s="137" t="s">
        <v>99</v>
      </c>
      <c r="BC106" s="136" t="s">
        <v>100</v>
      </c>
      <c r="BD106" s="136" t="s">
        <v>101</v>
      </c>
      <c r="BE106" s="136" t="s">
        <v>102</v>
      </c>
      <c r="BF106" s="129"/>
      <c r="BG106" s="137" t="s">
        <v>99</v>
      </c>
      <c r="BH106" s="136" t="s">
        <v>100</v>
      </c>
      <c r="BI106" s="136" t="s">
        <v>101</v>
      </c>
      <c r="BJ106" s="136" t="s">
        <v>102</v>
      </c>
      <c r="BK106" s="129"/>
    </row>
    <row r="107" hidden="1" customHeight="1" spans="3:63">
      <c r="C107" s="188">
        <v>1</v>
      </c>
      <c r="F107" s="9"/>
      <c r="G107" s="12"/>
      <c r="H107" s="129"/>
      <c r="K107" s="9"/>
      <c r="L107" s="12"/>
      <c r="M107" s="129"/>
      <c r="P107" s="9"/>
      <c r="Q107" s="12"/>
      <c r="R107" s="129"/>
      <c r="U107" s="9"/>
      <c r="V107" s="12"/>
      <c r="W107" s="129"/>
      <c r="Z107" s="9"/>
      <c r="AA107" s="12"/>
      <c r="AB107" s="129"/>
      <c r="AE107" s="189"/>
      <c r="AF107" s="190"/>
      <c r="AG107" s="186"/>
      <c r="AJ107" s="9"/>
      <c r="AK107" s="12"/>
      <c r="AL107" s="129"/>
      <c r="AO107" s="9"/>
      <c r="AP107" s="12"/>
      <c r="AQ107" s="129"/>
      <c r="AT107" s="9"/>
      <c r="AU107" s="12"/>
      <c r="AV107" s="129"/>
      <c r="AY107" s="9"/>
      <c r="AZ107" s="12"/>
      <c r="BA107" s="129"/>
      <c r="BD107" s="9"/>
      <c r="BE107" s="12"/>
      <c r="BF107" s="129"/>
      <c r="BI107" s="189"/>
      <c r="BJ107" s="190"/>
      <c r="BK107" s="129"/>
    </row>
    <row r="108" hidden="1" customHeight="1" spans="3:63">
      <c r="C108" s="188">
        <v>1</v>
      </c>
      <c r="H108" s="129"/>
      <c r="M108" s="129"/>
      <c r="R108" s="129"/>
      <c r="W108" s="129"/>
      <c r="AB108" s="129"/>
      <c r="AE108" s="93"/>
      <c r="AF108" s="93"/>
      <c r="AG108" s="186"/>
      <c r="AL108" s="129"/>
      <c r="AQ108" s="129"/>
      <c r="AV108" s="129"/>
      <c r="BA108" s="129"/>
      <c r="BF108" s="129"/>
      <c r="BI108" s="93"/>
      <c r="BJ108" s="93"/>
      <c r="BK108" s="129"/>
    </row>
    <row r="109" hidden="1" customHeight="1" spans="3:63">
      <c r="C109" s="188">
        <v>1</v>
      </c>
      <c r="H109" s="129"/>
      <c r="M109" s="129"/>
      <c r="R109" s="129"/>
      <c r="W109" s="129"/>
      <c r="AB109" s="129"/>
      <c r="AE109" s="93"/>
      <c r="AF109" s="93"/>
      <c r="AG109" s="186"/>
      <c r="AL109" s="129"/>
      <c r="AQ109" s="129"/>
      <c r="AV109" s="129"/>
      <c r="BA109" s="129"/>
      <c r="BF109" s="129"/>
      <c r="BI109" s="93"/>
      <c r="BJ109" s="93"/>
      <c r="BK109" s="129"/>
    </row>
    <row r="110" hidden="1" customHeight="1" spans="3:63">
      <c r="C110" s="191">
        <v>2</v>
      </c>
      <c r="H110" s="129"/>
      <c r="M110" s="129"/>
      <c r="R110" s="129"/>
      <c r="W110" s="129"/>
      <c r="AB110" s="129"/>
      <c r="AG110" s="186"/>
      <c r="AL110" s="129"/>
      <c r="AQ110" s="129"/>
      <c r="AV110" s="129"/>
      <c r="BA110" s="129"/>
      <c r="BF110" s="129"/>
      <c r="BK110" s="129"/>
    </row>
    <row r="111" hidden="1" customHeight="1" spans="3:63">
      <c r="C111" s="191">
        <v>2</v>
      </c>
      <c r="E111" s="93"/>
      <c r="H111" s="129"/>
      <c r="J111" s="93"/>
      <c r="M111" s="129"/>
      <c r="O111" s="93"/>
      <c r="R111" s="129"/>
      <c r="T111" s="93"/>
      <c r="W111" s="129"/>
      <c r="Y111" s="93"/>
      <c r="AB111" s="129"/>
      <c r="AD111" s="93"/>
      <c r="AG111" s="186"/>
      <c r="AI111" s="93"/>
      <c r="AL111" s="129"/>
      <c r="AN111" s="93"/>
      <c r="AQ111" s="129"/>
      <c r="AS111" s="93"/>
      <c r="AV111" s="129"/>
      <c r="AX111" s="93"/>
      <c r="BA111" s="129"/>
      <c r="BC111" s="93"/>
      <c r="BF111" s="129"/>
      <c r="BH111" s="93"/>
      <c r="BK111" s="129"/>
    </row>
    <row r="112" hidden="1" customHeight="1" spans="3:63">
      <c r="C112" s="192">
        <v>3</v>
      </c>
      <c r="H112" s="129"/>
      <c r="M112" s="129"/>
      <c r="P112" s="93"/>
      <c r="Q112" s="93"/>
      <c r="R112" s="129"/>
      <c r="T112" s="93"/>
      <c r="U112" s="93"/>
      <c r="V112" s="93"/>
      <c r="W112" s="129"/>
      <c r="Y112" s="93"/>
      <c r="Z112" s="93"/>
      <c r="AA112" s="193"/>
      <c r="AB112" s="129"/>
      <c r="AD112" s="93"/>
      <c r="AG112" s="186"/>
      <c r="AL112" s="129"/>
      <c r="AQ112" s="129"/>
      <c r="AT112" s="93"/>
      <c r="AU112" s="93"/>
      <c r="AV112" s="129"/>
      <c r="AX112" s="93"/>
      <c r="AY112" s="93"/>
      <c r="AZ112" s="93"/>
      <c r="BA112" s="129"/>
      <c r="BC112" s="93"/>
      <c r="BD112" s="93"/>
      <c r="BE112" s="193"/>
      <c r="BF112" s="129"/>
      <c r="BH112" s="93"/>
      <c r="BK112" s="129"/>
    </row>
    <row r="113" hidden="1" customHeight="1" spans="3:63">
      <c r="C113" s="192">
        <v>3</v>
      </c>
      <c r="H113" s="129"/>
      <c r="M113" s="129"/>
      <c r="P113" s="93"/>
      <c r="Q113" s="93"/>
      <c r="R113" s="129"/>
      <c r="T113" s="93"/>
      <c r="U113" s="93"/>
      <c r="V113" s="93"/>
      <c r="W113" s="129"/>
      <c r="Y113" s="93"/>
      <c r="Z113" s="93"/>
      <c r="AA113" s="193"/>
      <c r="AB113" s="129"/>
      <c r="AD113" s="93"/>
      <c r="AG113" s="186"/>
      <c r="AL113" s="129"/>
      <c r="AQ113" s="129"/>
      <c r="AT113" s="93"/>
      <c r="AU113" s="93"/>
      <c r="AV113" s="129"/>
      <c r="AX113" s="93"/>
      <c r="AY113" s="93"/>
      <c r="AZ113" s="93"/>
      <c r="BA113" s="129"/>
      <c r="BC113" s="93"/>
      <c r="BD113" s="93"/>
      <c r="BE113" s="193"/>
      <c r="BF113" s="129"/>
      <c r="BH113" s="93"/>
      <c r="BK113" s="129"/>
    </row>
    <row r="114" hidden="1" customHeight="1" spans="3:63">
      <c r="C114" s="192">
        <v>3</v>
      </c>
      <c r="D114" s="35"/>
      <c r="E114" s="33"/>
      <c r="F114" s="33"/>
      <c r="G114" s="33"/>
      <c r="H114" s="183"/>
      <c r="I114" s="35"/>
      <c r="J114" s="33"/>
      <c r="K114" s="33"/>
      <c r="L114" s="33"/>
      <c r="M114" s="183"/>
      <c r="N114" s="35"/>
      <c r="O114" s="33"/>
      <c r="P114" s="194"/>
      <c r="Q114" s="194"/>
      <c r="R114" s="183"/>
      <c r="S114" s="35"/>
      <c r="T114" s="194"/>
      <c r="U114" s="194"/>
      <c r="V114" s="194"/>
      <c r="W114" s="183"/>
      <c r="X114" s="35"/>
      <c r="Y114" s="194"/>
      <c r="Z114" s="194"/>
      <c r="AA114" s="195"/>
      <c r="AB114" s="183"/>
      <c r="AC114" s="35"/>
      <c r="AD114" s="194"/>
      <c r="AE114" s="33"/>
      <c r="AF114" s="33"/>
      <c r="AG114" s="196"/>
      <c r="AH114" s="35"/>
      <c r="AI114" s="33"/>
      <c r="AJ114" s="33"/>
      <c r="AK114" s="33"/>
      <c r="AL114" s="183"/>
      <c r="AM114" s="35"/>
      <c r="AN114" s="33"/>
      <c r="AO114" s="33"/>
      <c r="AP114" s="33"/>
      <c r="AQ114" s="183"/>
      <c r="AR114" s="35"/>
      <c r="AS114" s="33"/>
      <c r="AT114" s="194"/>
      <c r="AU114" s="194"/>
      <c r="AV114" s="183"/>
      <c r="AW114" s="35"/>
      <c r="AX114" s="194"/>
      <c r="AY114" s="194"/>
      <c r="AZ114" s="194"/>
      <c r="BA114" s="183"/>
      <c r="BB114" s="35"/>
      <c r="BC114" s="194"/>
      <c r="BD114" s="194"/>
      <c r="BE114" s="195"/>
      <c r="BF114" s="183"/>
      <c r="BG114" s="35"/>
      <c r="BH114" s="194"/>
      <c r="BI114" s="33"/>
      <c r="BJ114" s="33"/>
      <c r="BK114" s="183"/>
    </row>
    <row r="115" hidden="1" customHeight="1" spans="3:63">
      <c r="C115" s="185"/>
      <c r="D115" s="130" t="s">
        <v>165</v>
      </c>
      <c r="E115" s="128"/>
      <c r="F115" s="128"/>
      <c r="G115" s="128"/>
      <c r="H115" s="129"/>
      <c r="I115" s="130" t="s">
        <v>165</v>
      </c>
      <c r="J115" s="128"/>
      <c r="K115" s="128"/>
      <c r="L115" s="128"/>
      <c r="M115" s="129"/>
      <c r="N115" s="130" t="s">
        <v>165</v>
      </c>
      <c r="O115" s="128"/>
      <c r="P115" s="128"/>
      <c r="Q115" s="128"/>
      <c r="R115" s="129"/>
      <c r="S115" s="130" t="s">
        <v>165</v>
      </c>
      <c r="T115" s="128"/>
      <c r="U115" s="128"/>
      <c r="V115" s="132"/>
      <c r="W115" s="129"/>
      <c r="X115" s="130" t="s">
        <v>165</v>
      </c>
      <c r="Y115" s="128"/>
      <c r="Z115" s="128"/>
      <c r="AA115" s="128"/>
      <c r="AB115" s="129"/>
      <c r="AC115" s="130" t="s">
        <v>165</v>
      </c>
      <c r="AD115" s="128"/>
      <c r="AE115" s="128"/>
      <c r="AF115" s="128"/>
      <c r="AG115" s="186"/>
      <c r="AH115" s="130" t="s">
        <v>165</v>
      </c>
      <c r="AI115" s="128"/>
      <c r="AJ115" s="128"/>
      <c r="AK115" s="128"/>
      <c r="AL115" s="129"/>
      <c r="AM115" s="130" t="s">
        <v>165</v>
      </c>
      <c r="AN115" s="128"/>
      <c r="AO115" s="128"/>
      <c r="AP115" s="128"/>
      <c r="AQ115" s="129"/>
      <c r="AR115" s="130" t="s">
        <v>165</v>
      </c>
      <c r="AS115" s="128"/>
      <c r="AT115" s="128"/>
      <c r="AU115" s="128"/>
      <c r="AV115" s="129"/>
      <c r="AW115" s="130" t="s">
        <v>165</v>
      </c>
      <c r="AX115" s="128"/>
      <c r="AY115" s="128"/>
      <c r="AZ115" s="132"/>
      <c r="BA115" s="129"/>
      <c r="BB115" s="130" t="s">
        <v>165</v>
      </c>
      <c r="BC115" s="128"/>
      <c r="BD115" s="128"/>
      <c r="BE115" s="128"/>
      <c r="BF115" s="129"/>
      <c r="BG115" s="130" t="s">
        <v>165</v>
      </c>
      <c r="BH115" s="128"/>
      <c r="BI115" s="128"/>
      <c r="BJ115" s="128"/>
      <c r="BK115" s="129"/>
    </row>
    <row r="116" hidden="1" customHeight="1" spans="3:63">
      <c r="C116" s="187" t="s">
        <v>128</v>
      </c>
      <c r="D116" s="137" t="s">
        <v>99</v>
      </c>
      <c r="E116" s="136" t="s">
        <v>100</v>
      </c>
      <c r="F116" s="136" t="s">
        <v>101</v>
      </c>
      <c r="G116" s="136" t="s">
        <v>102</v>
      </c>
      <c r="H116" s="129"/>
      <c r="I116" s="137" t="s">
        <v>99</v>
      </c>
      <c r="J116" s="136" t="s">
        <v>100</v>
      </c>
      <c r="K116" s="136" t="s">
        <v>101</v>
      </c>
      <c r="L116" s="136" t="s">
        <v>102</v>
      </c>
      <c r="M116" s="129"/>
      <c r="N116" s="137" t="s">
        <v>99</v>
      </c>
      <c r="O116" s="136" t="s">
        <v>100</v>
      </c>
      <c r="P116" s="136" t="s">
        <v>101</v>
      </c>
      <c r="Q116" s="136" t="s">
        <v>102</v>
      </c>
      <c r="R116" s="129"/>
      <c r="S116" s="137" t="s">
        <v>99</v>
      </c>
      <c r="T116" s="136" t="s">
        <v>100</v>
      </c>
      <c r="U116" s="136" t="s">
        <v>101</v>
      </c>
      <c r="V116" s="136" t="s">
        <v>102</v>
      </c>
      <c r="W116" s="129"/>
      <c r="X116" s="137" t="s">
        <v>99</v>
      </c>
      <c r="Y116" s="136" t="s">
        <v>100</v>
      </c>
      <c r="Z116" s="136" t="s">
        <v>101</v>
      </c>
      <c r="AA116" s="136" t="s">
        <v>102</v>
      </c>
      <c r="AB116" s="129"/>
      <c r="AC116" s="137" t="s">
        <v>99</v>
      </c>
      <c r="AD116" s="136" t="s">
        <v>100</v>
      </c>
      <c r="AE116" s="136" t="s">
        <v>101</v>
      </c>
      <c r="AF116" s="136" t="s">
        <v>102</v>
      </c>
      <c r="AG116" s="186"/>
      <c r="AH116" s="137" t="s">
        <v>99</v>
      </c>
      <c r="AI116" s="136" t="s">
        <v>100</v>
      </c>
      <c r="AJ116" s="136" t="s">
        <v>101</v>
      </c>
      <c r="AK116" s="136" t="s">
        <v>102</v>
      </c>
      <c r="AL116" s="129"/>
      <c r="AM116" s="137" t="s">
        <v>99</v>
      </c>
      <c r="AN116" s="136" t="s">
        <v>100</v>
      </c>
      <c r="AO116" s="136" t="s">
        <v>101</v>
      </c>
      <c r="AP116" s="136" t="s">
        <v>102</v>
      </c>
      <c r="AQ116" s="129"/>
      <c r="AR116" s="137" t="s">
        <v>99</v>
      </c>
      <c r="AS116" s="136" t="s">
        <v>100</v>
      </c>
      <c r="AT116" s="136" t="s">
        <v>101</v>
      </c>
      <c r="AU116" s="136" t="s">
        <v>102</v>
      </c>
      <c r="AV116" s="129"/>
      <c r="AW116" s="137" t="s">
        <v>99</v>
      </c>
      <c r="AX116" s="136" t="s">
        <v>100</v>
      </c>
      <c r="AY116" s="136" t="s">
        <v>101</v>
      </c>
      <c r="AZ116" s="136" t="s">
        <v>102</v>
      </c>
      <c r="BA116" s="129"/>
      <c r="BB116" s="137" t="s">
        <v>99</v>
      </c>
      <c r="BC116" s="136" t="s">
        <v>100</v>
      </c>
      <c r="BD116" s="136" t="s">
        <v>101</v>
      </c>
      <c r="BE116" s="136" t="s">
        <v>102</v>
      </c>
      <c r="BF116" s="129"/>
      <c r="BG116" s="137" t="s">
        <v>99</v>
      </c>
      <c r="BH116" s="136" t="s">
        <v>100</v>
      </c>
      <c r="BI116" s="136" t="s">
        <v>101</v>
      </c>
      <c r="BJ116" s="136" t="s">
        <v>102</v>
      </c>
      <c r="BK116" s="129"/>
    </row>
    <row r="117" ht="15" hidden="1" customHeight="1" spans="3:63">
      <c r="C117" s="188">
        <v>1</v>
      </c>
      <c r="D117" s="3">
        <f>D30</f>
        <v>0</v>
      </c>
      <c r="G117" s="21"/>
      <c r="H117" s="129"/>
      <c r="I117" s="3">
        <f>I30</f>
        <v>0</v>
      </c>
      <c r="L117" s="21"/>
      <c r="M117" s="129"/>
      <c r="N117" s="3">
        <f>N30</f>
        <v>0</v>
      </c>
      <c r="Q117" s="21"/>
      <c r="R117" s="129"/>
      <c r="S117" s="3">
        <f>S30</f>
        <v>0</v>
      </c>
      <c r="W117" s="129"/>
      <c r="X117" s="3">
        <f>X30</f>
        <v>0</v>
      </c>
      <c r="AA117" s="21"/>
      <c r="AB117" s="129"/>
      <c r="AC117" s="3">
        <f>AC30</f>
        <v>0</v>
      </c>
      <c r="AF117" s="21"/>
      <c r="AG117" s="186"/>
      <c r="AH117" s="3">
        <f>AH30</f>
        <v>0</v>
      </c>
      <c r="AJ117" s="9"/>
      <c r="AK117" s="12"/>
      <c r="AL117" s="129"/>
      <c r="AM117" s="3">
        <f>AM30</f>
        <v>0</v>
      </c>
      <c r="AO117" s="9"/>
      <c r="AP117" s="12"/>
      <c r="AQ117" s="129"/>
      <c r="AR117" s="3">
        <f>AR30</f>
        <v>0</v>
      </c>
      <c r="AT117" s="9"/>
      <c r="AU117" s="12"/>
      <c r="AV117" s="129"/>
      <c r="AW117" s="3">
        <f>AW30</f>
        <v>0</v>
      </c>
      <c r="BA117" s="129"/>
      <c r="BB117" s="3">
        <f>BB30</f>
        <v>0</v>
      </c>
      <c r="BD117" s="9"/>
      <c r="BE117" s="12"/>
      <c r="BF117" s="129"/>
      <c r="BG117" s="3">
        <f>BG30</f>
        <v>0</v>
      </c>
      <c r="BI117" s="9"/>
      <c r="BJ117" s="12"/>
      <c r="BK117" s="129"/>
    </row>
    <row r="118" hidden="1" customHeight="1" spans="3:63">
      <c r="C118" s="188">
        <v>1</v>
      </c>
      <c r="H118" s="129"/>
      <c r="M118" s="129"/>
      <c r="R118" s="129"/>
      <c r="W118" s="129"/>
      <c r="AB118" s="129"/>
      <c r="AG118" s="186"/>
      <c r="AL118" s="129"/>
      <c r="AQ118" s="129"/>
      <c r="AV118" s="129"/>
      <c r="BA118" s="129"/>
      <c r="BF118" s="129"/>
      <c r="BK118" s="129"/>
    </row>
    <row r="119" hidden="1" customHeight="1" spans="3:63">
      <c r="C119" s="188">
        <v>1</v>
      </c>
      <c r="H119" s="129"/>
      <c r="M119" s="129"/>
      <c r="R119" s="129"/>
      <c r="W119" s="129"/>
      <c r="AB119" s="129"/>
      <c r="AG119" s="186"/>
      <c r="AL119" s="129"/>
      <c r="AQ119" s="129"/>
      <c r="AV119" s="129"/>
      <c r="BA119" s="129"/>
      <c r="BF119" s="129"/>
      <c r="BK119" s="129"/>
    </row>
    <row r="120" hidden="1" customHeight="1" spans="3:63">
      <c r="C120" s="191">
        <v>2</v>
      </c>
      <c r="D120" s="3" t="s">
        <v>223</v>
      </c>
      <c r="E120" s="93"/>
      <c r="H120" s="129"/>
      <c r="I120" s="3" t="s">
        <v>223</v>
      </c>
      <c r="J120" s="93"/>
      <c r="M120" s="129"/>
      <c r="N120" s="3" t="s">
        <v>223</v>
      </c>
      <c r="O120" s="93"/>
      <c r="R120" s="129"/>
      <c r="S120" s="3" t="s">
        <v>223</v>
      </c>
      <c r="T120" s="93"/>
      <c r="U120" s="93"/>
      <c r="V120" s="93"/>
      <c r="W120" s="129"/>
      <c r="X120" s="3" t="s">
        <v>223</v>
      </c>
      <c r="Y120" s="93"/>
      <c r="AB120" s="129"/>
      <c r="AD120" s="93"/>
      <c r="AG120" s="186"/>
      <c r="AH120" s="3" t="s">
        <v>223</v>
      </c>
      <c r="AI120" s="93"/>
      <c r="AL120" s="129"/>
      <c r="AM120" s="3" t="s">
        <v>223</v>
      </c>
      <c r="AN120" s="93"/>
      <c r="AQ120" s="129"/>
      <c r="AR120" s="3" t="s">
        <v>223</v>
      </c>
      <c r="AS120" s="93"/>
      <c r="AV120" s="129"/>
      <c r="AW120" s="3" t="s">
        <v>223</v>
      </c>
      <c r="AX120" s="93"/>
      <c r="AY120" s="93"/>
      <c r="AZ120" s="93"/>
      <c r="BA120" s="129"/>
      <c r="BB120" s="3" t="s">
        <v>223</v>
      </c>
      <c r="BC120" s="93"/>
      <c r="BF120" s="129"/>
      <c r="BH120" s="93"/>
      <c r="BK120" s="129"/>
    </row>
    <row r="121" hidden="1" customHeight="1" spans="3:63">
      <c r="C121" s="191">
        <v>2</v>
      </c>
      <c r="E121" s="93"/>
      <c r="H121" s="129"/>
      <c r="J121" s="93"/>
      <c r="M121" s="129"/>
      <c r="O121" s="93"/>
      <c r="R121" s="129"/>
      <c r="T121" s="93"/>
      <c r="U121" s="93"/>
      <c r="V121" s="93"/>
      <c r="W121" s="129"/>
      <c r="Y121" s="93"/>
      <c r="AB121" s="129"/>
      <c r="AD121" s="93"/>
      <c r="AG121" s="186"/>
      <c r="AI121" s="93"/>
      <c r="AL121" s="129"/>
      <c r="AN121" s="93"/>
      <c r="AQ121" s="129"/>
      <c r="AS121" s="93"/>
      <c r="AV121" s="129"/>
      <c r="AX121" s="93"/>
      <c r="AY121" s="93"/>
      <c r="AZ121" s="93"/>
      <c r="BA121" s="129"/>
      <c r="BC121" s="93"/>
      <c r="BF121" s="129"/>
      <c r="BH121" s="93"/>
      <c r="BK121" s="129"/>
    </row>
    <row r="122" hidden="1" customHeight="1" spans="3:63">
      <c r="C122" s="192">
        <v>3</v>
      </c>
      <c r="D122" s="3" t="s">
        <v>223</v>
      </c>
      <c r="H122" s="129"/>
      <c r="I122" s="3" t="s">
        <v>223</v>
      </c>
      <c r="M122" s="129"/>
      <c r="N122" s="3" t="s">
        <v>223</v>
      </c>
      <c r="R122" s="129"/>
      <c r="S122" s="3" t="s">
        <v>223</v>
      </c>
      <c r="U122" s="93"/>
      <c r="V122" s="93"/>
      <c r="W122" s="129"/>
      <c r="X122" s="3" t="s">
        <v>223</v>
      </c>
      <c r="AB122" s="129"/>
      <c r="AG122" s="186"/>
      <c r="AH122" s="3" t="s">
        <v>223</v>
      </c>
      <c r="AL122" s="129"/>
      <c r="AM122" s="3" t="s">
        <v>223</v>
      </c>
      <c r="AQ122" s="129"/>
      <c r="AR122" s="3" t="s">
        <v>223</v>
      </c>
      <c r="AV122" s="129"/>
      <c r="AW122" s="3" t="s">
        <v>223</v>
      </c>
      <c r="AY122" s="93"/>
      <c r="AZ122" s="93"/>
      <c r="BA122" s="129"/>
      <c r="BB122" s="3" t="s">
        <v>223</v>
      </c>
      <c r="BF122" s="129"/>
      <c r="BK122" s="129"/>
    </row>
    <row r="123" hidden="1" customHeight="1" spans="3:63">
      <c r="C123" s="192">
        <v>3</v>
      </c>
      <c r="H123" s="129"/>
      <c r="M123" s="129"/>
      <c r="R123" s="129"/>
      <c r="T123" s="93"/>
      <c r="U123" s="93"/>
      <c r="V123" s="193"/>
      <c r="W123" s="129"/>
      <c r="AB123" s="129"/>
      <c r="AG123" s="186"/>
      <c r="AL123" s="129"/>
      <c r="AQ123" s="129"/>
      <c r="AV123" s="129"/>
      <c r="AX123" s="93"/>
      <c r="AY123" s="93"/>
      <c r="AZ123" s="193"/>
      <c r="BA123" s="129"/>
      <c r="BF123" s="129"/>
      <c r="BK123" s="129"/>
    </row>
    <row r="124" hidden="1" customHeight="1" spans="3:63">
      <c r="C124" s="192">
        <v>3</v>
      </c>
      <c r="D124" s="35"/>
      <c r="E124" s="33"/>
      <c r="F124" s="33"/>
      <c r="G124" s="33"/>
      <c r="H124" s="183"/>
      <c r="I124" s="35"/>
      <c r="J124" s="33"/>
      <c r="K124" s="33"/>
      <c r="L124" s="33"/>
      <c r="M124" s="183"/>
      <c r="N124" s="35"/>
      <c r="O124" s="33"/>
      <c r="P124" s="33"/>
      <c r="Q124" s="33"/>
      <c r="R124" s="183"/>
      <c r="S124" s="35"/>
      <c r="T124" s="33"/>
      <c r="U124" s="194"/>
      <c r="V124" s="195"/>
      <c r="W124" s="183"/>
      <c r="X124" s="35"/>
      <c r="Y124" s="33"/>
      <c r="Z124" s="33"/>
      <c r="AA124" s="33"/>
      <c r="AB124" s="183"/>
      <c r="AC124" s="35"/>
      <c r="AD124" s="33"/>
      <c r="AE124" s="33"/>
      <c r="AF124" s="33"/>
      <c r="AG124" s="196"/>
      <c r="AH124" s="35"/>
      <c r="AI124" s="33"/>
      <c r="AJ124" s="33"/>
      <c r="AK124" s="33"/>
      <c r="AL124" s="183"/>
      <c r="AM124" s="35"/>
      <c r="AN124" s="33"/>
      <c r="AO124" s="33"/>
      <c r="AP124" s="33"/>
      <c r="AQ124" s="183"/>
      <c r="AR124" s="35"/>
      <c r="AS124" s="33"/>
      <c r="AT124" s="33"/>
      <c r="AU124" s="33"/>
      <c r="AV124" s="183"/>
      <c r="AW124" s="35"/>
      <c r="AX124" s="33"/>
      <c r="AY124" s="194"/>
      <c r="AZ124" s="195"/>
      <c r="BA124" s="183"/>
      <c r="BB124" s="35"/>
      <c r="BC124" s="33"/>
      <c r="BD124" s="33"/>
      <c r="BE124" s="33"/>
      <c r="BF124" s="183"/>
      <c r="BG124" s="35"/>
      <c r="BH124" s="33"/>
      <c r="BI124" s="33"/>
      <c r="BJ124" s="33"/>
      <c r="BK124" s="183"/>
    </row>
    <row r="125" hidden="1" customHeight="1" spans="3:63">
      <c r="C125" s="197"/>
      <c r="D125" s="121" t="s">
        <v>166</v>
      </c>
      <c r="E125" s="173"/>
      <c r="F125" s="173"/>
      <c r="G125" s="173"/>
      <c r="H125" s="129"/>
      <c r="I125" s="121" t="s">
        <v>166</v>
      </c>
      <c r="J125" s="173"/>
      <c r="K125" s="173"/>
      <c r="L125" s="173"/>
      <c r="M125" s="129"/>
      <c r="N125" s="121" t="s">
        <v>166</v>
      </c>
      <c r="O125" s="173"/>
      <c r="P125" s="173"/>
      <c r="Q125" s="173"/>
      <c r="R125" s="129"/>
      <c r="S125" s="121" t="s">
        <v>166</v>
      </c>
      <c r="T125" s="173"/>
      <c r="U125" s="173"/>
      <c r="V125" s="174"/>
      <c r="W125" s="129"/>
      <c r="X125" s="121" t="s">
        <v>166</v>
      </c>
      <c r="Y125" s="173"/>
      <c r="Z125" s="173"/>
      <c r="AA125" s="173"/>
      <c r="AB125" s="129"/>
      <c r="AC125" s="121" t="s">
        <v>166</v>
      </c>
      <c r="AD125" s="173"/>
      <c r="AE125" s="173"/>
      <c r="AF125" s="173"/>
      <c r="AG125" s="186"/>
      <c r="AH125" s="121" t="s">
        <v>166</v>
      </c>
      <c r="AI125" s="173"/>
      <c r="AJ125" s="173"/>
      <c r="AK125" s="173"/>
      <c r="AL125" s="129"/>
      <c r="AM125" s="121" t="s">
        <v>166</v>
      </c>
      <c r="AN125" s="173"/>
      <c r="AO125" s="173"/>
      <c r="AP125" s="173"/>
      <c r="AQ125" s="129"/>
      <c r="AR125" s="121" t="s">
        <v>166</v>
      </c>
      <c r="AS125" s="173"/>
      <c r="AT125" s="173"/>
      <c r="AU125" s="173"/>
      <c r="AV125" s="129"/>
      <c r="AW125" s="121" t="s">
        <v>166</v>
      </c>
      <c r="AX125" s="173"/>
      <c r="AY125" s="173"/>
      <c r="AZ125" s="174"/>
      <c r="BA125" s="129"/>
      <c r="BB125" s="121" t="s">
        <v>166</v>
      </c>
      <c r="BC125" s="173"/>
      <c r="BD125" s="173"/>
      <c r="BE125" s="173"/>
      <c r="BF125" s="129"/>
      <c r="BG125" s="121" t="s">
        <v>166</v>
      </c>
      <c r="BH125" s="173"/>
      <c r="BI125" s="173"/>
      <c r="BJ125" s="173"/>
      <c r="BK125" s="129"/>
    </row>
    <row r="126" hidden="1" customHeight="1" spans="3:63">
      <c r="C126" s="187" t="s">
        <v>128</v>
      </c>
      <c r="D126" s="137" t="s">
        <v>99</v>
      </c>
      <c r="E126" s="136" t="s">
        <v>100</v>
      </c>
      <c r="F126" s="136" t="s">
        <v>101</v>
      </c>
      <c r="G126" s="136" t="s">
        <v>102</v>
      </c>
      <c r="H126" s="129"/>
      <c r="I126" s="137" t="s">
        <v>99</v>
      </c>
      <c r="J126" s="136" t="s">
        <v>100</v>
      </c>
      <c r="K126" s="136" t="s">
        <v>101</v>
      </c>
      <c r="L126" s="136" t="s">
        <v>102</v>
      </c>
      <c r="M126" s="129"/>
      <c r="N126" s="137" t="s">
        <v>99</v>
      </c>
      <c r="O126" s="136" t="s">
        <v>100</v>
      </c>
      <c r="P126" s="136" t="s">
        <v>101</v>
      </c>
      <c r="Q126" s="136" t="s">
        <v>102</v>
      </c>
      <c r="R126" s="129"/>
      <c r="S126" s="137" t="s">
        <v>99</v>
      </c>
      <c r="T126" s="136" t="s">
        <v>100</v>
      </c>
      <c r="U126" s="136" t="s">
        <v>101</v>
      </c>
      <c r="V126" s="136" t="s">
        <v>102</v>
      </c>
      <c r="W126" s="129"/>
      <c r="X126" s="137" t="s">
        <v>99</v>
      </c>
      <c r="Y126" s="136" t="s">
        <v>100</v>
      </c>
      <c r="Z126" s="136" t="s">
        <v>101</v>
      </c>
      <c r="AA126" s="136" t="s">
        <v>102</v>
      </c>
      <c r="AB126" s="129"/>
      <c r="AC126" s="137" t="s">
        <v>99</v>
      </c>
      <c r="AD126" s="136" t="s">
        <v>100</v>
      </c>
      <c r="AE126" s="136" t="s">
        <v>101</v>
      </c>
      <c r="AF126" s="136" t="s">
        <v>102</v>
      </c>
      <c r="AG126" s="186"/>
      <c r="AH126" s="137" t="s">
        <v>99</v>
      </c>
      <c r="AI126" s="136" t="s">
        <v>100</v>
      </c>
      <c r="AJ126" s="136" t="s">
        <v>101</v>
      </c>
      <c r="AK126" s="136" t="s">
        <v>102</v>
      </c>
      <c r="AL126" s="129"/>
      <c r="AM126" s="137" t="s">
        <v>99</v>
      </c>
      <c r="AN126" s="136" t="s">
        <v>100</v>
      </c>
      <c r="AO126" s="136" t="s">
        <v>101</v>
      </c>
      <c r="AP126" s="136" t="s">
        <v>102</v>
      </c>
      <c r="AQ126" s="129"/>
      <c r="AR126" s="137" t="s">
        <v>99</v>
      </c>
      <c r="AS126" s="136" t="s">
        <v>100</v>
      </c>
      <c r="AT126" s="136" t="s">
        <v>101</v>
      </c>
      <c r="AU126" s="136" t="s">
        <v>102</v>
      </c>
      <c r="AV126" s="129"/>
      <c r="AW126" s="137" t="s">
        <v>99</v>
      </c>
      <c r="AX126" s="136" t="s">
        <v>100</v>
      </c>
      <c r="AY126" s="136" t="s">
        <v>101</v>
      </c>
      <c r="AZ126" s="136" t="s">
        <v>102</v>
      </c>
      <c r="BA126" s="129"/>
      <c r="BB126" s="137" t="s">
        <v>99</v>
      </c>
      <c r="BC126" s="136" t="s">
        <v>100</v>
      </c>
      <c r="BD126" s="136" t="s">
        <v>101</v>
      </c>
      <c r="BE126" s="136" t="s">
        <v>102</v>
      </c>
      <c r="BF126" s="129"/>
      <c r="BG126" s="137" t="s">
        <v>99</v>
      </c>
      <c r="BH126" s="136" t="s">
        <v>100</v>
      </c>
      <c r="BI126" s="136" t="s">
        <v>101</v>
      </c>
      <c r="BJ126" s="136" t="s">
        <v>102</v>
      </c>
      <c r="BK126" s="129"/>
    </row>
    <row r="127" ht="15" hidden="1" customHeight="1" spans="3:63">
      <c r="C127" s="188">
        <v>1</v>
      </c>
      <c r="D127" s="3">
        <f>D33</f>
        <v>0</v>
      </c>
      <c r="G127" s="21"/>
      <c r="H127" s="129"/>
      <c r="I127" s="3">
        <f>I33</f>
        <v>0</v>
      </c>
      <c r="L127" s="21"/>
      <c r="M127" s="129"/>
      <c r="N127" s="3">
        <f>N33</f>
        <v>0</v>
      </c>
      <c r="Q127" s="21"/>
      <c r="R127" s="129"/>
      <c r="S127" s="3">
        <f>S33</f>
        <v>0</v>
      </c>
      <c r="W127" s="129"/>
      <c r="X127" s="3">
        <f>X33</f>
        <v>0</v>
      </c>
      <c r="AA127" s="21"/>
      <c r="AB127" s="129"/>
      <c r="AC127" s="3">
        <f>AC33</f>
        <v>0</v>
      </c>
      <c r="AF127" s="21"/>
      <c r="AG127" s="186"/>
      <c r="AH127" s="3">
        <f>AH33</f>
        <v>0</v>
      </c>
      <c r="AJ127" s="9"/>
      <c r="AK127" s="12"/>
      <c r="AL127" s="129"/>
      <c r="AM127" s="3">
        <f>AM33</f>
        <v>0</v>
      </c>
      <c r="AO127" s="9"/>
      <c r="AP127" s="12"/>
      <c r="AQ127" s="129"/>
      <c r="AR127" s="3">
        <f>AR33</f>
        <v>0</v>
      </c>
      <c r="AT127" s="9"/>
      <c r="AU127" s="12"/>
      <c r="AV127" s="129"/>
      <c r="AW127" s="3">
        <f>AW33</f>
        <v>0</v>
      </c>
      <c r="BA127" s="129"/>
      <c r="BB127" s="3">
        <f>BB33</f>
        <v>0</v>
      </c>
      <c r="BD127" s="9"/>
      <c r="BE127" s="12"/>
      <c r="BF127" s="129"/>
      <c r="BG127" s="3">
        <f>BG33</f>
        <v>0</v>
      </c>
      <c r="BI127" s="9"/>
      <c r="BJ127" s="12"/>
      <c r="BK127" s="129"/>
    </row>
    <row r="128" hidden="1" customHeight="1" spans="3:63">
      <c r="C128" s="188">
        <v>1</v>
      </c>
      <c r="H128" s="129"/>
      <c r="M128" s="129"/>
      <c r="R128" s="129"/>
      <c r="W128" s="129"/>
      <c r="AB128" s="129"/>
      <c r="AG128" s="186"/>
      <c r="AL128" s="129"/>
      <c r="AQ128" s="129"/>
      <c r="AV128" s="129"/>
      <c r="BA128" s="129"/>
      <c r="BF128" s="129"/>
      <c r="BK128" s="129"/>
    </row>
    <row r="129" hidden="1" customHeight="1" spans="3:63">
      <c r="C129" s="188">
        <v>1</v>
      </c>
      <c r="H129" s="129"/>
      <c r="M129" s="129"/>
      <c r="R129" s="129"/>
      <c r="W129" s="129"/>
      <c r="AB129" s="129"/>
      <c r="AG129" s="186"/>
      <c r="AL129" s="129"/>
      <c r="AQ129" s="129"/>
      <c r="AV129" s="129"/>
      <c r="BA129" s="129"/>
      <c r="BF129" s="129"/>
      <c r="BK129" s="129"/>
    </row>
    <row r="130" hidden="1" customHeight="1" spans="3:63">
      <c r="C130" s="191">
        <v>2</v>
      </c>
      <c r="D130" s="3" t="s">
        <v>223</v>
      </c>
      <c r="E130" s="93"/>
      <c r="H130" s="129"/>
      <c r="I130" s="3" t="s">
        <v>223</v>
      </c>
      <c r="J130" s="93"/>
      <c r="M130" s="129"/>
      <c r="N130" s="3" t="s">
        <v>223</v>
      </c>
      <c r="O130" s="93"/>
      <c r="R130" s="129"/>
      <c r="S130" s="3" t="s">
        <v>223</v>
      </c>
      <c r="T130" s="93"/>
      <c r="U130" s="93"/>
      <c r="V130" s="93"/>
      <c r="W130" s="129"/>
      <c r="X130" s="3" t="s">
        <v>223</v>
      </c>
      <c r="Y130" s="93"/>
      <c r="AB130" s="129"/>
      <c r="AD130" s="93"/>
      <c r="AG130" s="186"/>
      <c r="AH130" s="3" t="s">
        <v>223</v>
      </c>
      <c r="AI130" s="93"/>
      <c r="AL130" s="129"/>
      <c r="AM130" s="3" t="s">
        <v>223</v>
      </c>
      <c r="AN130" s="93"/>
      <c r="AQ130" s="129"/>
      <c r="AR130" s="3" t="s">
        <v>223</v>
      </c>
      <c r="AS130" s="93"/>
      <c r="AV130" s="129"/>
      <c r="AW130" s="3" t="s">
        <v>223</v>
      </c>
      <c r="AX130" s="93"/>
      <c r="AY130" s="93"/>
      <c r="AZ130" s="93"/>
      <c r="BA130" s="129"/>
      <c r="BB130" s="3" t="s">
        <v>223</v>
      </c>
      <c r="BC130" s="93"/>
      <c r="BF130" s="129"/>
      <c r="BH130" s="93"/>
      <c r="BK130" s="129"/>
    </row>
    <row r="131" hidden="1" customHeight="1" spans="3:63">
      <c r="C131" s="191">
        <v>2</v>
      </c>
      <c r="E131" s="93"/>
      <c r="H131" s="129"/>
      <c r="J131" s="93"/>
      <c r="M131" s="129"/>
      <c r="O131" s="93"/>
      <c r="R131" s="129"/>
      <c r="T131" s="93"/>
      <c r="U131" s="93"/>
      <c r="V131" s="93"/>
      <c r="W131" s="129"/>
      <c r="Y131" s="93"/>
      <c r="AB131" s="129"/>
      <c r="AD131" s="93"/>
      <c r="AG131" s="186"/>
      <c r="AI131" s="93"/>
      <c r="AL131" s="129"/>
      <c r="AN131" s="93"/>
      <c r="AQ131" s="129"/>
      <c r="AS131" s="93"/>
      <c r="AV131" s="129"/>
      <c r="AX131" s="93"/>
      <c r="AY131" s="93"/>
      <c r="AZ131" s="93"/>
      <c r="BA131" s="129"/>
      <c r="BC131" s="93"/>
      <c r="BF131" s="129"/>
      <c r="BH131" s="93"/>
      <c r="BK131" s="129"/>
    </row>
    <row r="132" hidden="1" customHeight="1" spans="3:63">
      <c r="C132" s="192">
        <v>3</v>
      </c>
      <c r="D132" s="3" t="s">
        <v>223</v>
      </c>
      <c r="H132" s="129"/>
      <c r="I132" s="3" t="s">
        <v>223</v>
      </c>
      <c r="M132" s="129"/>
      <c r="N132" s="3" t="s">
        <v>223</v>
      </c>
      <c r="R132" s="129"/>
      <c r="S132" s="3" t="s">
        <v>223</v>
      </c>
      <c r="U132" s="93"/>
      <c r="V132" s="93"/>
      <c r="W132" s="129"/>
      <c r="X132" s="3" t="s">
        <v>223</v>
      </c>
      <c r="AB132" s="129"/>
      <c r="AG132" s="186"/>
      <c r="AH132" s="3" t="s">
        <v>223</v>
      </c>
      <c r="AL132" s="129"/>
      <c r="AM132" s="3" t="s">
        <v>223</v>
      </c>
      <c r="AQ132" s="129"/>
      <c r="AR132" s="3" t="s">
        <v>223</v>
      </c>
      <c r="AV132" s="129"/>
      <c r="AW132" s="3" t="s">
        <v>223</v>
      </c>
      <c r="AY132" s="93"/>
      <c r="AZ132" s="93"/>
      <c r="BA132" s="129"/>
      <c r="BB132" s="3" t="s">
        <v>223</v>
      </c>
      <c r="BF132" s="129"/>
      <c r="BK132" s="129"/>
    </row>
    <row r="133" hidden="1" customHeight="1" spans="3:63">
      <c r="C133" s="192">
        <v>3</v>
      </c>
      <c r="H133" s="129"/>
      <c r="M133" s="129"/>
      <c r="R133" s="129"/>
      <c r="T133" s="93"/>
      <c r="U133" s="93"/>
      <c r="V133" s="193"/>
      <c r="W133" s="129"/>
      <c r="AB133" s="129"/>
      <c r="AG133" s="186"/>
      <c r="AL133" s="129"/>
      <c r="AQ133" s="129"/>
      <c r="AV133" s="129"/>
      <c r="AX133" s="93"/>
      <c r="AY133" s="93"/>
      <c r="AZ133" s="193"/>
      <c r="BA133" s="129"/>
      <c r="BF133" s="129"/>
      <c r="BK133" s="129"/>
    </row>
    <row r="134" hidden="1" customHeight="1" spans="3:63">
      <c r="C134" s="198">
        <v>3</v>
      </c>
      <c r="D134" s="35"/>
      <c r="E134" s="33"/>
      <c r="F134" s="33"/>
      <c r="G134" s="33"/>
      <c r="H134" s="183"/>
      <c r="I134" s="35"/>
      <c r="J134" s="33"/>
      <c r="K134" s="33"/>
      <c r="L134" s="33"/>
      <c r="M134" s="183"/>
      <c r="N134" s="35"/>
      <c r="O134" s="33"/>
      <c r="P134" s="33"/>
      <c r="Q134" s="33"/>
      <c r="R134" s="183"/>
      <c r="S134" s="35"/>
      <c r="T134" s="33"/>
      <c r="U134" s="194"/>
      <c r="V134" s="195"/>
      <c r="W134" s="183"/>
      <c r="X134" s="35"/>
      <c r="Y134" s="33"/>
      <c r="Z134" s="33"/>
      <c r="AA134" s="33"/>
      <c r="AB134" s="183"/>
      <c r="AC134" s="35"/>
      <c r="AD134" s="33"/>
      <c r="AE134" s="33"/>
      <c r="AF134" s="33"/>
      <c r="AG134" s="196"/>
      <c r="AH134" s="35"/>
      <c r="AI134" s="33"/>
      <c r="AJ134" s="33"/>
      <c r="AK134" s="33"/>
      <c r="AL134" s="183"/>
      <c r="AM134" s="35"/>
      <c r="AN134" s="33"/>
      <c r="AO134" s="33"/>
      <c r="AP134" s="33"/>
      <c r="AQ134" s="183"/>
      <c r="AR134" s="35"/>
      <c r="AS134" s="33"/>
      <c r="AT134" s="33"/>
      <c r="AU134" s="33"/>
      <c r="AV134" s="183"/>
      <c r="AW134" s="35"/>
      <c r="AX134" s="33"/>
      <c r="AY134" s="194"/>
      <c r="AZ134" s="195"/>
      <c r="BA134" s="183"/>
      <c r="BB134" s="35"/>
      <c r="BC134" s="33"/>
      <c r="BD134" s="33"/>
      <c r="BE134" s="33"/>
      <c r="BF134" s="183"/>
      <c r="BG134" s="35"/>
      <c r="BH134" s="33"/>
      <c r="BI134" s="33"/>
      <c r="BJ134" s="33"/>
      <c r="BK134" s="183"/>
    </row>
    <row r="135" spans="3:63">
      <c r="C135" s="7"/>
      <c r="D135" s="199"/>
      <c r="E135" s="10"/>
      <c r="F135" s="9"/>
      <c r="G135" s="9"/>
      <c r="H135" s="10"/>
      <c r="I135" s="11"/>
      <c r="J135" s="9"/>
      <c r="K135" s="9"/>
      <c r="L135" s="9"/>
      <c r="M135" s="10"/>
      <c r="N135" s="11"/>
      <c r="O135" s="9"/>
      <c r="P135" s="9"/>
      <c r="Q135" s="9"/>
      <c r="R135" s="10"/>
      <c r="S135" s="11"/>
      <c r="T135" s="9"/>
      <c r="U135" s="9"/>
      <c r="V135" s="9"/>
      <c r="W135" s="10"/>
      <c r="X135" s="200"/>
      <c r="Y135" s="10"/>
      <c r="Z135" s="9"/>
      <c r="AA135" s="9"/>
      <c r="AB135" s="10"/>
      <c r="AC135" s="11"/>
      <c r="AD135" s="9"/>
      <c r="AE135" s="9"/>
      <c r="AF135" s="9"/>
      <c r="AG135" s="10"/>
      <c r="AH135" s="199"/>
      <c r="AI135" s="10"/>
      <c r="AJ135" s="9"/>
      <c r="AK135" s="9"/>
      <c r="AL135" s="10"/>
      <c r="AM135" s="11"/>
      <c r="AN135" s="9"/>
      <c r="AO135" s="9"/>
      <c r="AP135" s="9"/>
      <c r="AQ135" s="10"/>
      <c r="AR135" s="11"/>
      <c r="AS135" s="9"/>
      <c r="AT135" s="9"/>
      <c r="AU135" s="9"/>
      <c r="AV135" s="10"/>
      <c r="AW135" s="11"/>
      <c r="AX135" s="9"/>
      <c r="AY135" s="9"/>
      <c r="AZ135" s="9"/>
      <c r="BA135" s="10"/>
      <c r="BB135" s="199"/>
      <c r="BC135" s="10"/>
      <c r="BD135" s="9"/>
      <c r="BE135" s="9"/>
      <c r="BF135" s="10"/>
      <c r="BG135" s="11"/>
      <c r="BH135" s="9"/>
      <c r="BI135" s="9"/>
      <c r="BJ135" s="9"/>
      <c r="BK135" s="10"/>
    </row>
    <row r="136" ht="18.4" customHeight="1" spans="3:63">
      <c r="D136" s="201" t="s">
        <v>224</v>
      </c>
      <c r="E136" s="202"/>
      <c r="F136" s="203"/>
      <c r="G136" s="203"/>
      <c r="H136" s="204"/>
      <c r="I136" s="202"/>
      <c r="J136" s="203"/>
      <c r="K136" s="203"/>
      <c r="L136" s="203"/>
      <c r="M136" s="204"/>
      <c r="N136" s="202"/>
      <c r="O136" s="203"/>
      <c r="P136" s="203"/>
      <c r="Q136" s="203"/>
      <c r="R136" s="204"/>
      <c r="S136" s="202"/>
      <c r="T136" s="203"/>
      <c r="U136" s="205"/>
      <c r="W136" s="206"/>
      <c r="X136" s="207" t="s">
        <v>225</v>
      </c>
      <c r="Y136" s="204"/>
      <c r="Z136" s="203"/>
      <c r="AA136" s="203"/>
      <c r="AB136" s="204"/>
      <c r="AC136" s="208"/>
      <c r="AG136" s="1"/>
      <c r="AH136" s="209"/>
      <c r="AI136" s="1"/>
      <c r="AL136" s="1"/>
      <c r="AQ136" s="1"/>
      <c r="AV136" s="1"/>
      <c r="BA136" s="1"/>
      <c r="BB136" s="209"/>
      <c r="BC136" s="1"/>
      <c r="BF136" s="1"/>
      <c r="BK136" s="1"/>
    </row>
    <row r="137" ht="18.4" customHeight="1" spans="3:63">
      <c r="D137" s="210" t="s">
        <v>76</v>
      </c>
      <c r="E137" s="211" t="s">
        <v>0</v>
      </c>
      <c r="F137" s="212"/>
      <c r="G137" s="212"/>
      <c r="H137" s="211"/>
      <c r="I137" s="213"/>
      <c r="J137" s="212"/>
      <c r="K137" s="212"/>
      <c r="L137" s="212"/>
      <c r="M137" s="211"/>
      <c r="N137" s="213"/>
      <c r="O137" s="212"/>
      <c r="P137" s="212"/>
      <c r="Q137" s="212"/>
      <c r="R137" s="211"/>
      <c r="S137" s="213"/>
      <c r="T137" s="212"/>
      <c r="U137" s="214"/>
      <c r="W137" s="215"/>
      <c r="X137" s="216" t="s">
        <v>226</v>
      </c>
      <c r="Y137" s="217"/>
      <c r="Z137" s="212"/>
      <c r="AA137" s="212"/>
      <c r="AB137" s="211"/>
      <c r="AC137" s="218"/>
      <c r="AG137" s="1"/>
      <c r="AH137" s="209"/>
      <c r="AI137" s="1"/>
      <c r="AL137" s="1"/>
      <c r="AQ137" s="1"/>
      <c r="AV137" s="1"/>
      <c r="BA137" s="1"/>
      <c r="BB137" s="209"/>
      <c r="BC137" s="1"/>
      <c r="BF137" s="1"/>
      <c r="BK137" s="1"/>
    </row>
    <row r="138" ht="18.4" customHeight="1" spans="3:63">
      <c r="D138" s="219"/>
      <c r="E138" s="220"/>
      <c r="F138" s="212"/>
      <c r="G138" s="212"/>
      <c r="H138" s="211"/>
      <c r="I138" s="213"/>
      <c r="J138" s="212"/>
      <c r="K138" s="212"/>
      <c r="L138" s="212"/>
      <c r="M138" s="211"/>
      <c r="N138" s="213"/>
      <c r="O138" s="212"/>
      <c r="P138" s="212"/>
      <c r="Q138" s="212"/>
      <c r="R138" s="211"/>
      <c r="S138" s="213"/>
      <c r="T138" s="212"/>
      <c r="U138" s="214"/>
      <c r="W138" s="1"/>
      <c r="X138" s="221" t="s">
        <v>29</v>
      </c>
      <c r="Y138" s="212" t="s">
        <v>111</v>
      </c>
      <c r="Z138" s="212">
        <v>10</v>
      </c>
      <c r="AA138" s="212" t="s">
        <v>201</v>
      </c>
      <c r="AB138" s="212"/>
      <c r="AC138" s="218"/>
      <c r="AG138" s="1"/>
      <c r="AH138" s="209"/>
      <c r="AI138" s="1"/>
      <c r="AL138" s="1"/>
      <c r="AQ138" s="1"/>
      <c r="AV138" s="1"/>
      <c r="BA138" s="1"/>
      <c r="BB138" s="209"/>
      <c r="BC138" s="1"/>
      <c r="BF138" s="1"/>
      <c r="BK138" s="1"/>
    </row>
    <row r="139" ht="18.4" customHeight="1" spans="3:63">
      <c r="D139" s="210" t="s">
        <v>227</v>
      </c>
      <c r="E139" s="222" t="s">
        <v>228</v>
      </c>
      <c r="F139" s="212"/>
      <c r="G139" s="212"/>
      <c r="H139" s="211"/>
      <c r="I139" s="213"/>
      <c r="J139" s="212"/>
      <c r="K139" s="212"/>
      <c r="L139" s="212"/>
      <c r="M139" s="211"/>
      <c r="N139" s="213"/>
      <c r="O139" s="212"/>
      <c r="P139" s="212"/>
      <c r="Q139" s="212"/>
      <c r="R139" s="211"/>
      <c r="S139" s="213"/>
      <c r="T139" s="212"/>
      <c r="U139" s="214"/>
      <c r="W139" s="1"/>
      <c r="X139" s="223" t="s">
        <v>229</v>
      </c>
      <c r="Y139" s="211"/>
      <c r="Z139" s="212"/>
      <c r="AA139" s="212"/>
      <c r="AB139" s="211"/>
      <c r="AC139" s="218"/>
      <c r="AG139" s="1"/>
      <c r="AH139" s="209"/>
      <c r="AI139" s="1"/>
      <c r="AL139" s="1"/>
      <c r="AQ139" s="1"/>
      <c r="AV139" s="1"/>
      <c r="BA139" s="1"/>
      <c r="BB139" s="209"/>
      <c r="BC139" s="1"/>
      <c r="BF139" s="1"/>
      <c r="BK139" s="1"/>
    </row>
    <row r="140" ht="18.4" customHeight="1" spans="3:63">
      <c r="D140" s="224" t="s">
        <v>230</v>
      </c>
      <c r="E140" s="225" t="s">
        <v>231</v>
      </c>
      <c r="F140" s="212"/>
      <c r="G140" s="212"/>
      <c r="H140" s="211"/>
      <c r="I140" s="213"/>
      <c r="J140" s="212"/>
      <c r="K140" s="212"/>
      <c r="L140" s="212"/>
      <c r="M140" s="211"/>
      <c r="N140" s="213"/>
      <c r="O140" s="212"/>
      <c r="P140" s="212"/>
      <c r="Q140" s="212"/>
      <c r="R140" s="211"/>
      <c r="S140" s="213"/>
      <c r="T140" s="212"/>
      <c r="U140" s="214"/>
      <c r="W140" s="1"/>
      <c r="X140" s="223" t="s">
        <v>232</v>
      </c>
      <c r="Y140" s="211"/>
      <c r="Z140" s="212"/>
      <c r="AA140" s="212"/>
      <c r="AB140" s="211"/>
      <c r="AC140" s="218"/>
      <c r="AG140" s="1"/>
      <c r="AH140" s="209"/>
      <c r="AI140" s="1"/>
      <c r="AL140" s="1"/>
      <c r="AQ140" s="1"/>
      <c r="AV140" s="1"/>
      <c r="BA140" s="1"/>
      <c r="BB140" s="209"/>
      <c r="BC140" s="1"/>
      <c r="BF140" s="1"/>
      <c r="BK140" s="1"/>
    </row>
    <row r="141" ht="18.4" customHeight="1" spans="3:63">
      <c r="D141" s="224" t="s">
        <v>233</v>
      </c>
      <c r="E141" s="225" t="s">
        <v>234</v>
      </c>
      <c r="F141" s="212"/>
      <c r="G141" s="212"/>
      <c r="H141" s="211"/>
      <c r="I141" s="213"/>
      <c r="J141" s="212"/>
      <c r="K141" s="212"/>
      <c r="L141" s="212"/>
      <c r="M141" s="211"/>
      <c r="N141" s="213"/>
      <c r="O141" s="212"/>
      <c r="P141" s="212"/>
      <c r="Q141" s="212"/>
      <c r="R141" s="211"/>
      <c r="S141" s="213"/>
      <c r="T141" s="212"/>
      <c r="U141" s="214"/>
      <c r="W141" s="1"/>
      <c r="X141" s="223" t="s">
        <v>235</v>
      </c>
      <c r="Y141" s="212"/>
      <c r="Z141" s="212"/>
      <c r="AA141" s="212"/>
      <c r="AB141" s="211"/>
      <c r="AC141" s="218"/>
      <c r="AG141" s="1"/>
      <c r="AH141" s="209"/>
      <c r="AI141" s="1"/>
      <c r="AL141" s="1"/>
      <c r="AQ141" s="1"/>
      <c r="AV141" s="1"/>
      <c r="BA141" s="1"/>
      <c r="BB141" s="209"/>
      <c r="BC141" s="1"/>
      <c r="BF141" s="1"/>
      <c r="BK141" s="1"/>
    </row>
    <row r="142" ht="18.4" customHeight="1" spans="3:63">
      <c r="D142" s="226" t="s">
        <v>236</v>
      </c>
      <c r="E142" s="225" t="s">
        <v>237</v>
      </c>
      <c r="F142" s="212"/>
      <c r="G142" s="212"/>
      <c r="H142" s="211"/>
      <c r="I142" s="213"/>
      <c r="J142" s="212"/>
      <c r="K142" s="212"/>
      <c r="L142" s="212"/>
      <c r="M142" s="211"/>
      <c r="N142" s="213"/>
      <c r="O142" s="212"/>
      <c r="P142" s="212"/>
      <c r="Q142" s="212"/>
      <c r="R142" s="211"/>
      <c r="S142" s="213"/>
      <c r="T142" s="212"/>
      <c r="U142" s="214"/>
      <c r="W142" s="1"/>
      <c r="X142" s="223" t="s">
        <v>238</v>
      </c>
      <c r="Y142" s="212"/>
      <c r="Z142" s="212"/>
      <c r="AA142" s="212"/>
      <c r="AB142" s="211"/>
      <c r="AC142" s="218"/>
      <c r="AG142" s="1"/>
      <c r="AL142" s="1"/>
      <c r="AQ142" s="1"/>
      <c r="AV142" s="1"/>
      <c r="BA142" s="1"/>
      <c r="BF142" s="1"/>
      <c r="BK142" s="1"/>
    </row>
    <row r="143" ht="18.4" customHeight="1" spans="3:63">
      <c r="D143" s="226" t="s">
        <v>239</v>
      </c>
      <c r="E143" s="225" t="s">
        <v>240</v>
      </c>
      <c r="F143" s="212"/>
      <c r="G143" s="211"/>
      <c r="H143" s="213"/>
      <c r="I143" s="213"/>
      <c r="J143" s="212"/>
      <c r="K143" s="212"/>
      <c r="L143" s="212"/>
      <c r="M143" s="211"/>
      <c r="N143" s="213"/>
      <c r="O143" s="212"/>
      <c r="P143" s="212"/>
      <c r="Q143" s="212"/>
      <c r="R143" s="211"/>
      <c r="S143" s="213"/>
      <c r="T143" s="212"/>
      <c r="U143" s="214"/>
      <c r="W143" s="1"/>
      <c r="X143" s="227" t="s">
        <v>241</v>
      </c>
      <c r="Y143" s="228"/>
      <c r="Z143" s="228"/>
      <c r="AA143" s="228"/>
      <c r="AB143" s="229"/>
      <c r="AC143" s="230"/>
      <c r="AG143" s="1"/>
      <c r="AL143" s="1"/>
      <c r="AQ143" s="1"/>
      <c r="AV143" s="1"/>
      <c r="BA143" s="1"/>
      <c r="BF143" s="1"/>
      <c r="BK143" s="1"/>
    </row>
    <row r="144" ht="18.4" customHeight="1" spans="3:63">
      <c r="D144" s="231" t="s">
        <v>242</v>
      </c>
      <c r="E144" s="213" t="s">
        <v>243</v>
      </c>
      <c r="F144" s="212"/>
      <c r="G144" s="212"/>
      <c r="H144" s="211"/>
      <c r="I144" s="213"/>
      <c r="J144" s="212"/>
      <c r="K144" s="212"/>
      <c r="L144" s="212"/>
      <c r="M144" s="211"/>
      <c r="N144" s="213"/>
      <c r="O144" s="212"/>
      <c r="P144" s="212"/>
      <c r="Q144" s="212"/>
      <c r="R144" s="211"/>
      <c r="S144" s="213"/>
      <c r="T144" s="212"/>
      <c r="U144" s="214"/>
      <c r="W144" s="1"/>
      <c r="X144" s="232"/>
      <c r="AB144" s="1"/>
      <c r="AG144" s="1"/>
      <c r="AL144" s="1"/>
      <c r="AQ144" s="1"/>
      <c r="AV144" s="1"/>
      <c r="BA144" s="1"/>
      <c r="BF144" s="1"/>
      <c r="BK144" s="1"/>
    </row>
    <row r="145" ht="18.4" customHeight="1" spans="4:63">
      <c r="D145" s="233" t="s">
        <v>244</v>
      </c>
      <c r="E145" s="211" t="s">
        <v>245</v>
      </c>
      <c r="F145" s="212"/>
      <c r="G145" s="212"/>
      <c r="H145" s="211"/>
      <c r="I145" s="213"/>
      <c r="J145" s="212"/>
      <c r="K145" s="212"/>
      <c r="L145" s="212"/>
      <c r="M145" s="211"/>
      <c r="N145" s="213"/>
      <c r="O145" s="212"/>
      <c r="P145" s="212"/>
      <c r="Q145" s="212"/>
      <c r="R145" s="211"/>
      <c r="S145" s="213"/>
      <c r="T145" s="212"/>
      <c r="U145" s="214"/>
      <c r="W145" s="1"/>
      <c r="X145" s="232"/>
      <c r="AB145" s="1"/>
      <c r="AG145" s="1"/>
      <c r="AL145" s="1"/>
      <c r="AQ145" s="1"/>
      <c r="AV145" s="1"/>
      <c r="BA145" s="1"/>
      <c r="BF145" s="1"/>
      <c r="BK145" s="1"/>
    </row>
    <row r="146" ht="18.4" customHeight="1" spans="4:63">
      <c r="D146" s="234"/>
      <c r="E146" s="235" t="s">
        <v>246</v>
      </c>
      <c r="F146" s="228"/>
      <c r="G146" s="228"/>
      <c r="H146" s="229"/>
      <c r="I146" s="236"/>
      <c r="J146" s="228"/>
      <c r="K146" s="228"/>
      <c r="L146" s="228"/>
      <c r="M146" s="229"/>
      <c r="N146" s="236"/>
      <c r="O146" s="228"/>
      <c r="P146" s="228"/>
      <c r="Q146" s="228"/>
      <c r="R146" s="229"/>
      <c r="S146" s="236"/>
      <c r="T146" s="228"/>
      <c r="U146" s="237"/>
      <c r="W146" s="1"/>
      <c r="X146" s="232"/>
      <c r="AB146" s="1"/>
      <c r="AG146" s="1"/>
      <c r="AL146" s="1"/>
      <c r="AQ146" s="1"/>
      <c r="AV146" s="1"/>
      <c r="BA146" s="1"/>
      <c r="BF146" s="1"/>
      <c r="BK146" s="1"/>
    </row>
    <row r="147" spans="4:63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W147" s="1"/>
      <c r="X147" s="232"/>
      <c r="AB147" s="1"/>
      <c r="AG147" s="1"/>
      <c r="AL147" s="1"/>
      <c r="AQ147" s="1"/>
      <c r="AV147" s="1"/>
      <c r="BA147" s="1"/>
      <c r="BF147" s="1"/>
      <c r="BK147" s="1"/>
    </row>
    <row r="148" spans="4:63">
      <c r="D148" s="209"/>
      <c r="E148" s="20"/>
      <c r="H148" s="1"/>
      <c r="M148" s="1"/>
      <c r="R148" s="1"/>
      <c r="W148" s="1"/>
      <c r="AB148" s="1"/>
      <c r="AG148" s="1"/>
      <c r="AL148" s="1"/>
      <c r="AQ148" s="1"/>
      <c r="AV148" s="1"/>
      <c r="BA148" s="1"/>
      <c r="BF148" s="1"/>
      <c r="BK148" s="1"/>
    </row>
    <row r="149" spans="4:63">
      <c r="D149" s="209"/>
      <c r="E149" s="20"/>
      <c r="H149" s="1"/>
      <c r="M149" s="1"/>
      <c r="R149" s="1"/>
      <c r="W149" s="1"/>
      <c r="AB149" s="1"/>
      <c r="AG149" s="1"/>
      <c r="AL149" s="1"/>
      <c r="AQ149" s="1"/>
      <c r="AV149" s="1"/>
      <c r="BA149" s="1"/>
      <c r="BF149" s="1"/>
      <c r="BK149" s="1"/>
    </row>
    <row r="150" spans="4:63">
      <c r="D150" s="209"/>
      <c r="E150" s="238"/>
      <c r="H150" s="1"/>
      <c r="M150" s="1"/>
      <c r="R150" s="1"/>
      <c r="W150" s="1"/>
      <c r="AB150" s="1"/>
      <c r="AG150" s="1"/>
      <c r="AL150" s="1"/>
      <c r="AQ150" s="1"/>
      <c r="AV150" s="1"/>
      <c r="BA150" s="1"/>
      <c r="BF150" s="1"/>
      <c r="BK150" s="1"/>
    </row>
    <row r="151" spans="4:63">
      <c r="H151" s="1"/>
      <c r="M151" s="1"/>
      <c r="R151" s="1"/>
      <c r="W151" s="1"/>
      <c r="AB151" s="1"/>
      <c r="AG151" s="1"/>
      <c r="AL151" s="1"/>
      <c r="AQ151" s="1"/>
      <c r="AV151" s="1"/>
      <c r="BA151" s="1"/>
      <c r="BF151" s="1"/>
      <c r="BK151" s="1"/>
    </row>
    <row r="152" spans="4:63">
      <c r="H152" s="1"/>
      <c r="M152" s="1"/>
      <c r="R152" s="1"/>
      <c r="W152" s="1"/>
      <c r="AB152" s="1"/>
      <c r="AG152" s="1"/>
      <c r="AL152" s="1"/>
      <c r="AQ152" s="1"/>
      <c r="AV152" s="1"/>
      <c r="BA152" s="1"/>
      <c r="BF152" s="1"/>
      <c r="BK152" s="1"/>
    </row>
    <row r="153" spans="4:63">
      <c r="H153" s="1"/>
      <c r="M153" s="1"/>
      <c r="R153" s="1"/>
      <c r="W153" s="1"/>
      <c r="AB153" s="1"/>
      <c r="AG153" s="1"/>
      <c r="AL153" s="1"/>
      <c r="AQ153" s="1"/>
      <c r="AV153" s="1"/>
      <c r="BA153" s="1"/>
      <c r="BF153" s="1"/>
      <c r="BK153" s="1"/>
    </row>
    <row r="154" spans="4:63">
      <c r="H154" s="1"/>
      <c r="M154" s="1"/>
      <c r="R154" s="1"/>
      <c r="W154" s="1"/>
      <c r="AB154" s="1"/>
      <c r="AG154" s="1"/>
      <c r="AL154" s="1"/>
      <c r="AQ154" s="1"/>
      <c r="AV154" s="1"/>
      <c r="BA154" s="1"/>
      <c r="BF154" s="1"/>
      <c r="BK154" s="1"/>
    </row>
    <row r="155" spans="4:63">
      <c r="H155" s="1"/>
      <c r="M155" s="1"/>
      <c r="R155" s="1"/>
      <c r="W155" s="1"/>
      <c r="AB155" s="1"/>
      <c r="AG155" s="1"/>
      <c r="AL155" s="1"/>
      <c r="AQ155" s="1"/>
      <c r="AV155" s="1"/>
      <c r="BA155" s="1"/>
      <c r="BF155" s="1"/>
      <c r="BK155" s="1"/>
    </row>
    <row r="156" spans="4:63">
      <c r="H156" s="1"/>
      <c r="M156" s="1"/>
      <c r="R156" s="1"/>
      <c r="W156" s="1"/>
      <c r="AB156" s="1"/>
      <c r="AG156" s="1"/>
      <c r="AL156" s="1"/>
      <c r="AQ156" s="1"/>
      <c r="AV156" s="1"/>
      <c r="BA156" s="1"/>
      <c r="BF156" s="1"/>
      <c r="BK156" s="1"/>
    </row>
    <row r="157" spans="4:63">
      <c r="H157" s="1"/>
      <c r="M157" s="1"/>
      <c r="R157" s="1"/>
      <c r="W157" s="1"/>
      <c r="AB157" s="1"/>
      <c r="AG157" s="1"/>
      <c r="AL157" s="1"/>
      <c r="AQ157" s="1"/>
      <c r="AV157" s="1"/>
      <c r="BA157" s="1"/>
      <c r="BF157" s="1"/>
      <c r="BK157" s="1"/>
    </row>
    <row r="158" spans="4:63">
      <c r="H158" s="1"/>
      <c r="M158" s="1"/>
      <c r="R158" s="1"/>
      <c r="W158" s="1"/>
      <c r="AB158" s="1"/>
      <c r="AG158" s="1"/>
      <c r="AL158" s="1"/>
      <c r="AQ158" s="1"/>
      <c r="AV158" s="1"/>
      <c r="BA158" s="1"/>
      <c r="BF158" s="1"/>
      <c r="BK158" s="1"/>
    </row>
    <row r="159" spans="4:63">
      <c r="H159" s="1"/>
      <c r="M159" s="1"/>
      <c r="R159" s="1"/>
      <c r="W159" s="1"/>
      <c r="AB159" s="1"/>
      <c r="AG159" s="1"/>
      <c r="AL159" s="1"/>
      <c r="AQ159" s="1"/>
      <c r="AV159" s="1"/>
      <c r="BA159" s="1"/>
      <c r="BF159" s="1"/>
      <c r="BK159" s="1"/>
    </row>
    <row r="160" spans="4:63">
      <c r="H160" s="1"/>
      <c r="M160" s="1"/>
      <c r="R160" s="1"/>
      <c r="W160" s="1"/>
      <c r="AB160" s="1"/>
      <c r="AG160" s="1"/>
      <c r="AL160" s="1"/>
      <c r="AQ160" s="1"/>
      <c r="AV160" s="1"/>
      <c r="BA160" s="1"/>
      <c r="BF160" s="1"/>
      <c r="BK160" s="1"/>
    </row>
    <row r="161" spans="8:63">
      <c r="H161" s="1"/>
      <c r="M161" s="1"/>
      <c r="R161" s="1"/>
      <c r="W161" s="1"/>
      <c r="AB161" s="1"/>
      <c r="AG161" s="1"/>
      <c r="AL161" s="1"/>
      <c r="AQ161" s="1"/>
      <c r="AV161" s="1"/>
      <c r="BA161" s="1"/>
      <c r="BF161" s="1"/>
      <c r="BK161" s="1"/>
    </row>
    <row r="162" spans="8:63">
      <c r="H162" s="1"/>
      <c r="M162" s="1"/>
      <c r="R162" s="1"/>
      <c r="W162" s="1"/>
      <c r="AB162" s="1"/>
      <c r="AG162" s="1"/>
      <c r="AL162" s="1"/>
      <c r="AQ162" s="1"/>
      <c r="AV162" s="1"/>
      <c r="BA162" s="1"/>
      <c r="BF162" s="1"/>
      <c r="BK162" s="1"/>
    </row>
    <row r="163" spans="8:63">
      <c r="H163" s="1"/>
      <c r="M163" s="1"/>
      <c r="R163" s="1"/>
      <c r="W163" s="1"/>
      <c r="AB163" s="1"/>
      <c r="AG163" s="1"/>
      <c r="AL163" s="1"/>
      <c r="AQ163" s="1"/>
      <c r="AV163" s="1"/>
      <c r="BA163" s="1"/>
      <c r="BF163" s="1"/>
      <c r="BK163" s="1"/>
    </row>
    <row r="164" spans="8:63">
      <c r="H164" s="1"/>
      <c r="M164" s="1"/>
      <c r="R164" s="1"/>
      <c r="W164" s="1"/>
      <c r="AB164" s="1"/>
      <c r="AG164" s="1"/>
      <c r="AL164" s="1"/>
      <c r="AQ164" s="1"/>
      <c r="AV164" s="1"/>
      <c r="BA164" s="1"/>
      <c r="BF164" s="1"/>
      <c r="BK164" s="1"/>
    </row>
    <row r="165" spans="8:63">
      <c r="H165" s="1"/>
      <c r="M165" s="1"/>
      <c r="R165" s="1"/>
      <c r="W165" s="1"/>
      <c r="AB165" s="1"/>
      <c r="AG165" s="1"/>
      <c r="AL165" s="1"/>
      <c r="AQ165" s="1"/>
      <c r="AV165" s="1"/>
      <c r="BA165" s="1"/>
      <c r="BF165" s="1"/>
      <c r="BK165" s="1"/>
    </row>
    <row r="166" spans="8:63">
      <c r="H166" s="1"/>
      <c r="M166" s="1"/>
      <c r="R166" s="1"/>
      <c r="W166" s="1"/>
      <c r="AB166" s="1"/>
      <c r="AG166" s="1"/>
      <c r="AL166" s="1"/>
      <c r="AQ166" s="1"/>
      <c r="AV166" s="1"/>
      <c r="BA166" s="1"/>
      <c r="BF166" s="1"/>
      <c r="BK166" s="1"/>
    </row>
    <row r="167" spans="8:63">
      <c r="H167" s="1"/>
      <c r="M167" s="1"/>
      <c r="R167" s="1"/>
      <c r="W167" s="1"/>
      <c r="AB167" s="1"/>
      <c r="AG167" s="1"/>
      <c r="AL167" s="1"/>
      <c r="AQ167" s="1"/>
      <c r="AV167" s="1"/>
      <c r="BA167" s="1"/>
      <c r="BF167" s="1"/>
      <c r="BK167" s="1"/>
    </row>
    <row r="168" spans="8:63">
      <c r="H168" s="1"/>
      <c r="M168" s="1"/>
      <c r="R168" s="1"/>
      <c r="W168" s="1"/>
      <c r="AB168" s="1"/>
      <c r="AG168" s="1"/>
      <c r="AL168" s="1"/>
      <c r="AQ168" s="1"/>
      <c r="AV168" s="1"/>
      <c r="BA168" s="1"/>
      <c r="BF168" s="1"/>
      <c r="BK168" s="1"/>
    </row>
    <row r="169" spans="8:63">
      <c r="H169" s="1"/>
      <c r="M169" s="1"/>
      <c r="R169" s="1"/>
      <c r="W169" s="1"/>
      <c r="AB169" s="1"/>
      <c r="AG169" s="1"/>
      <c r="AL169" s="1"/>
      <c r="AQ169" s="1"/>
      <c r="AV169" s="1"/>
      <c r="BA169" s="1"/>
      <c r="BF169" s="1"/>
      <c r="BK169" s="1"/>
    </row>
    <row r="170" spans="8:63">
      <c r="H170" s="1"/>
      <c r="M170" s="1"/>
      <c r="R170" s="1"/>
      <c r="W170" s="1"/>
      <c r="AB170" s="1"/>
      <c r="AG170" s="1"/>
      <c r="AL170" s="1"/>
      <c r="AQ170" s="1"/>
      <c r="AV170" s="1"/>
      <c r="BA170" s="1"/>
      <c r="BF170" s="1"/>
      <c r="BK170" s="1"/>
    </row>
    <row r="171" spans="8:63">
      <c r="H171" s="1"/>
      <c r="M171" s="1"/>
      <c r="R171" s="1"/>
      <c r="W171" s="1"/>
      <c r="AB171" s="1"/>
      <c r="AG171" s="1"/>
      <c r="AL171" s="1"/>
      <c r="AQ171" s="1"/>
      <c r="AV171" s="1"/>
      <c r="BA171" s="1"/>
      <c r="BF171" s="1"/>
      <c r="BK171" s="1"/>
    </row>
    <row r="172" spans="8:63">
      <c r="H172" s="1"/>
      <c r="M172" s="1"/>
      <c r="R172" s="1"/>
      <c r="W172" s="1"/>
      <c r="AB172" s="1"/>
      <c r="AG172" s="1"/>
      <c r="AL172" s="1"/>
      <c r="AQ172" s="1"/>
      <c r="AV172" s="1"/>
      <c r="BA172" s="1"/>
      <c r="BF172" s="1"/>
      <c r="BK172" s="1"/>
    </row>
    <row r="173" spans="8:63">
      <c r="H173" s="1"/>
      <c r="M173" s="1"/>
      <c r="R173" s="1"/>
      <c r="W173" s="1"/>
      <c r="AB173" s="1"/>
      <c r="AG173" s="1"/>
      <c r="AL173" s="1"/>
      <c r="AQ173" s="1"/>
      <c r="AV173" s="1"/>
      <c r="BA173" s="1"/>
      <c r="BF173" s="1"/>
      <c r="BK173" s="1"/>
    </row>
    <row r="174" spans="8:63">
      <c r="H174" s="1"/>
      <c r="M174" s="1"/>
      <c r="R174" s="1"/>
      <c r="W174" s="1"/>
      <c r="AB174" s="1"/>
      <c r="AG174" s="1"/>
      <c r="AL174" s="1"/>
      <c r="AQ174" s="1"/>
      <c r="AV174" s="1"/>
      <c r="BA174" s="1"/>
      <c r="BF174" s="1"/>
      <c r="BK174" s="1"/>
    </row>
    <row r="175" spans="8:63">
      <c r="H175" s="1"/>
      <c r="M175" s="1"/>
      <c r="R175" s="1"/>
      <c r="W175" s="1"/>
      <c r="AB175" s="1"/>
      <c r="AG175" s="1"/>
      <c r="AL175" s="1"/>
      <c r="AQ175" s="1"/>
      <c r="AV175" s="1"/>
      <c r="BA175" s="1"/>
      <c r="BF175" s="1"/>
      <c r="BK175" s="1"/>
    </row>
    <row r="176" spans="8:63">
      <c r="H176" s="1"/>
      <c r="M176" s="1"/>
      <c r="R176" s="1"/>
      <c r="W176" s="1"/>
      <c r="AB176" s="1"/>
      <c r="AG176" s="1"/>
      <c r="AL176" s="1"/>
      <c r="AQ176" s="1"/>
      <c r="AV176" s="1"/>
      <c r="BA176" s="1"/>
      <c r="BF176" s="1"/>
      <c r="BK176" s="1"/>
    </row>
    <row r="177" spans="8:63">
      <c r="H177" s="1"/>
      <c r="M177" s="1"/>
      <c r="R177" s="1"/>
      <c r="W177" s="1"/>
      <c r="AB177" s="1"/>
      <c r="AG177" s="1"/>
      <c r="AL177" s="1"/>
      <c r="AQ177" s="1"/>
      <c r="AV177" s="1"/>
      <c r="BA177" s="1"/>
      <c r="BF177" s="1"/>
      <c r="BK177" s="1"/>
    </row>
    <row r="178" spans="8:63">
      <c r="H178" s="1"/>
      <c r="M178" s="1"/>
      <c r="R178" s="1"/>
      <c r="W178" s="1"/>
      <c r="AB178" s="1"/>
      <c r="AG178" s="1"/>
      <c r="AL178" s="1"/>
      <c r="AQ178" s="1"/>
      <c r="AV178" s="1"/>
      <c r="BA178" s="1"/>
      <c r="BF178" s="1"/>
      <c r="BK178" s="1"/>
    </row>
    <row r="179" spans="8:63">
      <c r="H179" s="1"/>
      <c r="M179" s="1"/>
      <c r="R179" s="1"/>
      <c r="W179" s="1"/>
      <c r="AB179" s="1"/>
      <c r="AG179" s="1"/>
      <c r="AL179" s="1"/>
      <c r="AQ179" s="1"/>
      <c r="AV179" s="1"/>
      <c r="BA179" s="1"/>
      <c r="BF179" s="1"/>
      <c r="BK179" s="1"/>
    </row>
    <row r="180" spans="8:63">
      <c r="H180" s="1"/>
      <c r="M180" s="1"/>
      <c r="R180" s="1"/>
      <c r="W180" s="1"/>
      <c r="AB180" s="1"/>
      <c r="AG180" s="1"/>
      <c r="AL180" s="1"/>
      <c r="AQ180" s="1"/>
      <c r="AV180" s="1"/>
      <c r="BA180" s="1"/>
      <c r="BF180" s="1"/>
      <c r="BK180" s="1"/>
    </row>
    <row r="181" spans="8:63">
      <c r="H181" s="1"/>
      <c r="M181" s="1"/>
      <c r="R181" s="1"/>
      <c r="W181" s="1"/>
      <c r="AB181" s="1"/>
      <c r="AG181" s="1"/>
      <c r="AL181" s="1"/>
      <c r="AQ181" s="1"/>
      <c r="AV181" s="1"/>
      <c r="BA181" s="1"/>
      <c r="BF181" s="1"/>
      <c r="BK181" s="1"/>
    </row>
    <row r="182" spans="8:63">
      <c r="H182" s="1"/>
      <c r="M182" s="1"/>
      <c r="R182" s="1"/>
      <c r="W182" s="1"/>
      <c r="AB182" s="1"/>
      <c r="AG182" s="1"/>
      <c r="AL182" s="1"/>
      <c r="AQ182" s="1"/>
      <c r="AV182" s="1"/>
      <c r="BA182" s="1"/>
      <c r="BF182" s="1"/>
      <c r="BK182" s="1"/>
    </row>
    <row r="183" spans="8:63">
      <c r="H183" s="1"/>
      <c r="M183" s="1"/>
      <c r="R183" s="1"/>
      <c r="W183" s="1"/>
      <c r="AB183" s="1"/>
      <c r="AG183" s="1"/>
      <c r="AL183" s="1"/>
      <c r="AQ183" s="1"/>
      <c r="AV183" s="1"/>
      <c r="BA183" s="1"/>
      <c r="BF183" s="1"/>
      <c r="BK183" s="1"/>
    </row>
    <row r="184" spans="8:63">
      <c r="H184" s="1"/>
      <c r="M184" s="1"/>
      <c r="R184" s="1"/>
      <c r="W184" s="1"/>
      <c r="AB184" s="1"/>
      <c r="AG184" s="1"/>
      <c r="AL184" s="1"/>
      <c r="AQ184" s="1"/>
      <c r="AV184" s="1"/>
      <c r="BA184" s="1"/>
      <c r="BF184" s="1"/>
      <c r="BK184" s="1"/>
    </row>
    <row r="185" spans="8:63">
      <c r="H185" s="1"/>
      <c r="M185" s="1"/>
      <c r="R185" s="1"/>
      <c r="W185" s="1"/>
      <c r="AB185" s="1"/>
      <c r="AG185" s="1"/>
      <c r="AL185" s="1"/>
      <c r="AQ185" s="1"/>
      <c r="AV185" s="1"/>
      <c r="BA185" s="1"/>
      <c r="BF185" s="1"/>
      <c r="BK185" s="1"/>
    </row>
    <row r="186" spans="8:63">
      <c r="H186" s="1"/>
      <c r="M186" s="1"/>
      <c r="R186" s="1"/>
      <c r="W186" s="1"/>
      <c r="AB186" s="1"/>
      <c r="AG186" s="1"/>
      <c r="AL186" s="1"/>
      <c r="AQ186" s="1"/>
      <c r="AV186" s="1"/>
      <c r="BA186" s="1"/>
      <c r="BF186" s="1"/>
      <c r="BK186" s="1"/>
    </row>
    <row r="187" spans="8:63">
      <c r="H187" s="1"/>
      <c r="M187" s="1"/>
      <c r="R187" s="1"/>
      <c r="W187" s="1"/>
      <c r="AB187" s="1"/>
      <c r="AG187" s="1"/>
      <c r="AL187" s="1"/>
      <c r="AQ187" s="1"/>
      <c r="AV187" s="1"/>
      <c r="BA187" s="1"/>
      <c r="BF187" s="1"/>
      <c r="BK187" s="1"/>
    </row>
    <row r="188" spans="8:63">
      <c r="H188" s="1"/>
      <c r="M188" s="1"/>
      <c r="R188" s="1"/>
      <c r="W188" s="1"/>
      <c r="AB188" s="1"/>
      <c r="AG188" s="1"/>
      <c r="AL188" s="1"/>
      <c r="AQ188" s="1"/>
      <c r="AV188" s="1"/>
      <c r="BA188" s="1"/>
      <c r="BF188" s="1"/>
      <c r="BK188" s="1"/>
    </row>
    <row r="189" spans="8:63">
      <c r="H189" s="1"/>
      <c r="M189" s="1"/>
      <c r="R189" s="1"/>
      <c r="W189" s="1"/>
      <c r="AB189" s="1"/>
      <c r="AG189" s="1"/>
      <c r="AL189" s="1"/>
      <c r="AQ189" s="1"/>
      <c r="AV189" s="1"/>
      <c r="BA189" s="1"/>
      <c r="BF189" s="1"/>
      <c r="BK189" s="1"/>
    </row>
    <row r="190" spans="8:63">
      <c r="H190" s="1"/>
      <c r="M190" s="1"/>
      <c r="R190" s="1"/>
      <c r="W190" s="1"/>
      <c r="AB190" s="1"/>
      <c r="AG190" s="1"/>
      <c r="AL190" s="1"/>
      <c r="AQ190" s="1"/>
      <c r="AV190" s="1"/>
      <c r="BA190" s="1"/>
      <c r="BF190" s="1"/>
      <c r="BK190" s="1"/>
    </row>
    <row r="191" spans="8:63">
      <c r="H191" s="1"/>
      <c r="M191" s="1"/>
      <c r="R191" s="1"/>
      <c r="W191" s="1"/>
      <c r="AB191" s="1"/>
      <c r="AG191" s="1"/>
      <c r="AL191" s="1"/>
      <c r="AQ191" s="1"/>
      <c r="AV191" s="1"/>
      <c r="BA191" s="1"/>
      <c r="BF191" s="1"/>
      <c r="BK191" s="1"/>
    </row>
    <row r="192" spans="8:63">
      <c r="H192" s="1"/>
      <c r="M192" s="1"/>
      <c r="R192" s="1"/>
      <c r="W192" s="1"/>
      <c r="AB192" s="1"/>
      <c r="AG192" s="1"/>
      <c r="AL192" s="1"/>
      <c r="AQ192" s="1"/>
      <c r="AV192" s="1"/>
      <c r="BA192" s="1"/>
      <c r="BF192" s="1"/>
      <c r="BK192" s="1"/>
    </row>
    <row r="193" spans="8:63">
      <c r="H193" s="1"/>
      <c r="M193" s="1"/>
      <c r="R193" s="1"/>
      <c r="W193" s="1"/>
      <c r="AB193" s="1"/>
      <c r="AG193" s="1"/>
      <c r="AL193" s="1"/>
      <c r="AQ193" s="1"/>
      <c r="AV193" s="1"/>
      <c r="BA193" s="1"/>
      <c r="BF193" s="1"/>
      <c r="BK193" s="1"/>
    </row>
    <row r="194" spans="8:63">
      <c r="H194" s="1"/>
      <c r="M194" s="1"/>
      <c r="R194" s="1"/>
      <c r="W194" s="1"/>
      <c r="AB194" s="1"/>
      <c r="AG194" s="1"/>
      <c r="AL194" s="1"/>
      <c r="AQ194" s="1"/>
      <c r="AV194" s="1"/>
      <c r="BA194" s="1"/>
      <c r="BF194" s="1"/>
      <c r="BK194" s="1"/>
    </row>
    <row r="195" spans="8:63">
      <c r="H195" s="1"/>
      <c r="M195" s="1"/>
      <c r="R195" s="1"/>
      <c r="W195" s="1"/>
      <c r="AB195" s="1"/>
      <c r="AG195" s="1"/>
      <c r="AL195" s="1"/>
      <c r="AQ195" s="1"/>
      <c r="AV195" s="1"/>
      <c r="BA195" s="1"/>
      <c r="BF195" s="1"/>
      <c r="BK195" s="1"/>
    </row>
    <row r="196" spans="8:63">
      <c r="H196" s="1"/>
      <c r="M196" s="1"/>
      <c r="R196" s="1"/>
      <c r="W196" s="1"/>
      <c r="AB196" s="1"/>
      <c r="AG196" s="1"/>
      <c r="AL196" s="1"/>
      <c r="AQ196" s="1"/>
      <c r="AV196" s="1"/>
      <c r="BA196" s="1"/>
      <c r="BF196" s="1"/>
      <c r="BK196" s="1"/>
    </row>
    <row r="197" spans="8:63">
      <c r="H197" s="1"/>
      <c r="M197" s="1"/>
      <c r="R197" s="1"/>
      <c r="W197" s="1"/>
      <c r="AB197" s="1"/>
      <c r="AG197" s="1"/>
      <c r="AL197" s="1"/>
      <c r="AQ197" s="1"/>
      <c r="AV197" s="1"/>
      <c r="BA197" s="1"/>
      <c r="BF197" s="1"/>
      <c r="BK197" s="1"/>
    </row>
    <row r="198" spans="8:63">
      <c r="H198" s="1"/>
      <c r="M198" s="1"/>
      <c r="R198" s="1"/>
      <c r="W198" s="1"/>
      <c r="AB198" s="1"/>
      <c r="AG198" s="1"/>
      <c r="AL198" s="1"/>
      <c r="AQ198" s="1"/>
      <c r="AV198" s="1"/>
      <c r="BA198" s="1"/>
      <c r="BF198" s="1"/>
      <c r="BK198" s="1"/>
    </row>
    <row r="199" spans="8:63">
      <c r="H199" s="1"/>
      <c r="M199" s="1"/>
      <c r="R199" s="1"/>
      <c r="W199" s="1"/>
      <c r="AB199" s="1"/>
      <c r="AG199" s="1"/>
      <c r="AL199" s="1"/>
      <c r="AQ199" s="1"/>
      <c r="AV199" s="1"/>
      <c r="BA199" s="1"/>
      <c r="BF199" s="1"/>
      <c r="BK199" s="1"/>
    </row>
    <row r="200" spans="8:63">
      <c r="H200" s="1"/>
      <c r="M200" s="1"/>
      <c r="R200" s="1"/>
      <c r="W200" s="1"/>
      <c r="AB200" s="1"/>
      <c r="AG200" s="1"/>
      <c r="AL200" s="1"/>
      <c r="AQ200" s="1"/>
      <c r="AV200" s="1"/>
      <c r="BA200" s="1"/>
      <c r="BF200" s="1"/>
      <c r="BK200" s="1"/>
    </row>
    <row r="201" spans="8:63">
      <c r="H201" s="1"/>
      <c r="M201" s="1"/>
      <c r="R201" s="1"/>
      <c r="W201" s="1"/>
      <c r="AB201" s="1"/>
      <c r="AG201" s="1"/>
      <c r="AL201" s="1"/>
      <c r="AQ201" s="1"/>
      <c r="AV201" s="1"/>
      <c r="BA201" s="1"/>
      <c r="BF201" s="1"/>
      <c r="BK201" s="1"/>
    </row>
    <row r="202" spans="8:63">
      <c r="H202" s="1"/>
      <c r="M202" s="1"/>
      <c r="R202" s="1"/>
      <c r="W202" s="1"/>
      <c r="AB202" s="1"/>
      <c r="AG202" s="1"/>
      <c r="AL202" s="1"/>
      <c r="AQ202" s="1"/>
      <c r="AV202" s="1"/>
      <c r="BA202" s="1"/>
      <c r="BF202" s="1"/>
      <c r="BK202" s="1"/>
    </row>
    <row r="203" spans="8:63">
      <c r="H203" s="1"/>
      <c r="M203" s="1"/>
      <c r="R203" s="1"/>
      <c r="W203" s="1"/>
      <c r="AB203" s="1"/>
      <c r="AG203" s="1"/>
      <c r="AL203" s="1"/>
      <c r="AQ203" s="1"/>
      <c r="AV203" s="1"/>
      <c r="BA203" s="1"/>
      <c r="BF203" s="1"/>
      <c r="BK203" s="1"/>
    </row>
    <row r="204" spans="8:63">
      <c r="H204" s="1"/>
      <c r="M204" s="1"/>
      <c r="R204" s="1"/>
      <c r="W204" s="1"/>
      <c r="AB204" s="1"/>
      <c r="AG204" s="1"/>
      <c r="AL204" s="1"/>
      <c r="AQ204" s="1"/>
      <c r="AV204" s="1"/>
      <c r="BA204" s="1"/>
      <c r="BF204" s="1"/>
      <c r="BK204" s="1"/>
    </row>
    <row r="205" spans="8:63">
      <c r="H205" s="1"/>
      <c r="M205" s="1"/>
      <c r="R205" s="1"/>
      <c r="W205" s="1"/>
      <c r="AB205" s="1"/>
      <c r="AG205" s="1"/>
      <c r="AL205" s="1"/>
      <c r="AQ205" s="1"/>
      <c r="AV205" s="1"/>
      <c r="BA205" s="1"/>
      <c r="BF205" s="1"/>
      <c r="BK205" s="1"/>
    </row>
    <row r="206" spans="8:63">
      <c r="H206" s="1"/>
      <c r="M206" s="1"/>
      <c r="R206" s="1"/>
      <c r="W206" s="1"/>
      <c r="AB206" s="1"/>
      <c r="AG206" s="1"/>
      <c r="AL206" s="1"/>
      <c r="AQ206" s="1"/>
      <c r="AV206" s="1"/>
      <c r="BA206" s="1"/>
      <c r="BF206" s="1"/>
      <c r="BK206" s="1"/>
    </row>
    <row r="207" spans="8:63">
      <c r="H207" s="1"/>
      <c r="M207" s="1"/>
      <c r="R207" s="1"/>
      <c r="W207" s="1"/>
      <c r="AB207" s="1"/>
      <c r="AG207" s="1"/>
      <c r="AL207" s="1"/>
      <c r="AQ207" s="1"/>
      <c r="AV207" s="1"/>
      <c r="BA207" s="1"/>
      <c r="BF207" s="1"/>
      <c r="BK207" s="1"/>
    </row>
    <row r="208" spans="8:63">
      <c r="H208" s="1"/>
      <c r="M208" s="1"/>
      <c r="R208" s="1"/>
      <c r="W208" s="1"/>
      <c r="AB208" s="1"/>
      <c r="AG208" s="1"/>
      <c r="AL208" s="1"/>
      <c r="AQ208" s="1"/>
      <c r="AV208" s="1"/>
      <c r="BA208" s="1"/>
      <c r="BF208" s="1"/>
      <c r="BK208" s="1"/>
    </row>
    <row r="209" spans="8:63">
      <c r="H209" s="1"/>
      <c r="M209" s="1"/>
      <c r="R209" s="1"/>
      <c r="W209" s="1"/>
      <c r="AB209" s="1"/>
      <c r="AG209" s="1"/>
      <c r="AL209" s="1"/>
      <c r="AQ209" s="1"/>
      <c r="AV209" s="1"/>
      <c r="BA209" s="1"/>
      <c r="BF209" s="1"/>
      <c r="BK209" s="1"/>
    </row>
    <row r="210" spans="8:63">
      <c r="H210" s="1"/>
      <c r="M210" s="1"/>
      <c r="R210" s="1"/>
      <c r="W210" s="1"/>
      <c r="AB210" s="1"/>
      <c r="AG210" s="1"/>
      <c r="AL210" s="1"/>
      <c r="AQ210" s="1"/>
      <c r="AV210" s="1"/>
      <c r="BA210" s="1"/>
      <c r="BF210" s="1"/>
      <c r="BK210" s="1"/>
    </row>
    <row r="211" spans="8:63">
      <c r="H211" s="1"/>
      <c r="M211" s="1"/>
      <c r="R211" s="1"/>
      <c r="W211" s="1"/>
      <c r="AB211" s="1"/>
      <c r="AG211" s="1"/>
      <c r="AL211" s="1"/>
      <c r="AQ211" s="1"/>
      <c r="AV211" s="1"/>
      <c r="BA211" s="1"/>
      <c r="BF211" s="1"/>
      <c r="BK211" s="1"/>
    </row>
    <row r="212" spans="8:63">
      <c r="H212" s="1"/>
      <c r="M212" s="1"/>
      <c r="R212" s="1"/>
      <c r="W212" s="1"/>
      <c r="AB212" s="1"/>
      <c r="AG212" s="1"/>
      <c r="AL212" s="1"/>
      <c r="AQ212" s="1"/>
      <c r="AV212" s="1"/>
      <c r="BA212" s="1"/>
      <c r="BF212" s="1"/>
      <c r="BK212" s="1"/>
    </row>
    <row r="213" spans="8:63">
      <c r="H213" s="1"/>
      <c r="M213" s="1"/>
      <c r="R213" s="1"/>
      <c r="W213" s="1"/>
      <c r="AB213" s="1"/>
      <c r="AG213" s="1"/>
      <c r="AL213" s="1"/>
      <c r="AQ213" s="1"/>
      <c r="AV213" s="1"/>
      <c r="BA213" s="1"/>
      <c r="BF213" s="1"/>
      <c r="BK213" s="1"/>
    </row>
    <row r="214" spans="8:63">
      <c r="H214" s="1"/>
      <c r="M214" s="1"/>
      <c r="R214" s="1"/>
      <c r="W214" s="1"/>
      <c r="AB214" s="1"/>
      <c r="AG214" s="1"/>
      <c r="AL214" s="1"/>
      <c r="AQ214" s="1"/>
      <c r="AV214" s="1"/>
      <c r="BA214" s="1"/>
      <c r="BF214" s="1"/>
      <c r="BK214" s="1"/>
    </row>
    <row r="215" spans="8:63">
      <c r="H215" s="1"/>
      <c r="M215" s="1"/>
      <c r="R215" s="1"/>
      <c r="W215" s="1"/>
      <c r="AB215" s="1"/>
      <c r="AG215" s="1"/>
      <c r="AL215" s="1"/>
      <c r="AQ215" s="1"/>
      <c r="AV215" s="1"/>
      <c r="BA215" s="1"/>
      <c r="BF215" s="1"/>
      <c r="BK215" s="1"/>
    </row>
    <row r="216" spans="8:63">
      <c r="H216" s="1"/>
      <c r="M216" s="1"/>
      <c r="R216" s="1"/>
      <c r="W216" s="1"/>
      <c r="AB216" s="1"/>
      <c r="AG216" s="1"/>
      <c r="AL216" s="1"/>
      <c r="AQ216" s="1"/>
      <c r="AV216" s="1"/>
      <c r="BA216" s="1"/>
      <c r="BF216" s="1"/>
      <c r="BK216" s="1"/>
    </row>
    <row r="217" spans="8:63">
      <c r="H217" s="1"/>
      <c r="M217" s="1"/>
      <c r="R217" s="1"/>
      <c r="W217" s="1"/>
      <c r="AB217" s="1"/>
      <c r="AG217" s="1"/>
      <c r="AL217" s="1"/>
      <c r="AQ217" s="1"/>
      <c r="AV217" s="1"/>
      <c r="BA217" s="1"/>
      <c r="BF217" s="1"/>
      <c r="BK217" s="1"/>
    </row>
    <row r="218" spans="8:63">
      <c r="H218" s="1"/>
      <c r="M218" s="1"/>
      <c r="R218" s="1"/>
      <c r="W218" s="1"/>
      <c r="AB218" s="1"/>
      <c r="AG218" s="1"/>
      <c r="AL218" s="1"/>
      <c r="AQ218" s="1"/>
      <c r="AV218" s="1"/>
      <c r="BA218" s="1"/>
      <c r="BF218" s="1"/>
      <c r="BK218" s="1"/>
    </row>
    <row r="219" spans="8:63">
      <c r="H219" s="1"/>
      <c r="M219" s="1"/>
      <c r="R219" s="1"/>
      <c r="W219" s="1"/>
      <c r="AB219" s="1"/>
      <c r="AG219" s="1"/>
      <c r="AL219" s="1"/>
      <c r="AQ219" s="1"/>
      <c r="AV219" s="1"/>
      <c r="BA219" s="1"/>
      <c r="BF219" s="1"/>
      <c r="BK219" s="1"/>
    </row>
    <row r="220" spans="8:63">
      <c r="H220" s="1"/>
      <c r="M220" s="1"/>
      <c r="R220" s="1"/>
      <c r="W220" s="1"/>
      <c r="AB220" s="1"/>
      <c r="AG220" s="1"/>
      <c r="AL220" s="1"/>
      <c r="AQ220" s="1"/>
      <c r="AV220" s="1"/>
      <c r="BA220" s="1"/>
      <c r="BF220" s="1"/>
      <c r="BK220" s="1"/>
    </row>
    <row r="221" spans="8:63">
      <c r="H221" s="1"/>
      <c r="M221" s="1"/>
      <c r="R221" s="1"/>
      <c r="W221" s="1"/>
      <c r="AB221" s="1"/>
      <c r="AG221" s="1"/>
      <c r="AL221" s="1"/>
      <c r="AQ221" s="1"/>
      <c r="AV221" s="1"/>
      <c r="BA221" s="1"/>
      <c r="BF221" s="1"/>
      <c r="BK221" s="1"/>
    </row>
    <row r="222" spans="8:63">
      <c r="H222" s="1"/>
      <c r="M222" s="1"/>
      <c r="R222" s="1"/>
      <c r="W222" s="1"/>
      <c r="AB222" s="1"/>
      <c r="AG222" s="1"/>
      <c r="AL222" s="1"/>
      <c r="AQ222" s="1"/>
      <c r="AV222" s="1"/>
      <c r="BA222" s="1"/>
      <c r="BF222" s="1"/>
      <c r="BK222" s="1"/>
    </row>
    <row r="223" spans="8:63">
      <c r="H223" s="1"/>
      <c r="M223" s="1"/>
      <c r="R223" s="1"/>
      <c r="W223" s="1"/>
      <c r="AB223" s="1"/>
      <c r="AG223" s="1"/>
      <c r="AL223" s="1"/>
      <c r="AQ223" s="1"/>
      <c r="AV223" s="1"/>
      <c r="BA223" s="1"/>
      <c r="BF223" s="1"/>
      <c r="BK223" s="1"/>
    </row>
    <row r="224" spans="8:63">
      <c r="H224" s="1"/>
      <c r="M224" s="1"/>
      <c r="R224" s="1"/>
      <c r="W224" s="1"/>
      <c r="AB224" s="1"/>
      <c r="AG224" s="1"/>
      <c r="AL224" s="1"/>
      <c r="AQ224" s="1"/>
      <c r="AV224" s="1"/>
      <c r="BA224" s="1"/>
      <c r="BF224" s="1"/>
      <c r="BK224" s="1"/>
    </row>
    <row r="225" spans="8:63">
      <c r="H225" s="1"/>
      <c r="M225" s="1"/>
      <c r="R225" s="1"/>
      <c r="W225" s="1"/>
      <c r="AB225" s="1"/>
      <c r="AG225" s="1"/>
      <c r="AL225" s="1"/>
      <c r="AQ225" s="1"/>
      <c r="AV225" s="1"/>
      <c r="BA225" s="1"/>
      <c r="BF225" s="1"/>
      <c r="BK225" s="1"/>
    </row>
    <row r="226" spans="8:63">
      <c r="H226" s="1"/>
      <c r="M226" s="1"/>
      <c r="R226" s="1"/>
      <c r="W226" s="1"/>
      <c r="AB226" s="1"/>
      <c r="AG226" s="1"/>
      <c r="AL226" s="1"/>
      <c r="AQ226" s="1"/>
      <c r="AV226" s="1"/>
      <c r="BA226" s="1"/>
      <c r="BF226" s="1"/>
      <c r="BK226" s="1"/>
    </row>
    <row r="227" spans="8:63">
      <c r="H227" s="1"/>
      <c r="M227" s="1"/>
      <c r="R227" s="1"/>
      <c r="W227" s="1"/>
      <c r="AB227" s="1"/>
      <c r="AG227" s="1"/>
      <c r="AL227" s="1"/>
      <c r="AQ227" s="1"/>
      <c r="AV227" s="1"/>
      <c r="BA227" s="1"/>
      <c r="BF227" s="1"/>
      <c r="BK227" s="1"/>
    </row>
    <row r="228" spans="8:63">
      <c r="H228" s="1"/>
      <c r="M228" s="1"/>
      <c r="R228" s="1"/>
      <c r="W228" s="1"/>
      <c r="AB228" s="1"/>
      <c r="AG228" s="1"/>
      <c r="AL228" s="1"/>
      <c r="AQ228" s="1"/>
      <c r="AV228" s="1"/>
      <c r="BA228" s="1"/>
      <c r="BF228" s="1"/>
      <c r="BK228" s="1"/>
    </row>
    <row r="229" spans="8:63">
      <c r="H229" s="1"/>
      <c r="M229" s="1"/>
      <c r="R229" s="1"/>
      <c r="W229" s="1"/>
      <c r="AB229" s="1"/>
      <c r="AG229" s="1"/>
      <c r="AL229" s="1"/>
      <c r="AQ229" s="1"/>
      <c r="AV229" s="1"/>
      <c r="BA229" s="1"/>
      <c r="BF229" s="1"/>
      <c r="BK229" s="1"/>
    </row>
    <row r="230" spans="8:63">
      <c r="H230" s="1"/>
      <c r="M230" s="1"/>
      <c r="R230" s="1"/>
      <c r="W230" s="1"/>
      <c r="AB230" s="1"/>
      <c r="AG230" s="1"/>
      <c r="AL230" s="1"/>
      <c r="AQ230" s="1"/>
      <c r="AV230" s="1"/>
      <c r="BA230" s="1"/>
      <c r="BF230" s="1"/>
      <c r="BK230" s="1"/>
    </row>
    <row r="231" spans="8:63">
      <c r="H231" s="1"/>
      <c r="M231" s="1"/>
      <c r="R231" s="1"/>
      <c r="W231" s="1"/>
      <c r="AB231" s="1"/>
      <c r="AG231" s="1"/>
      <c r="AL231" s="1"/>
      <c r="AQ231" s="1"/>
      <c r="AV231" s="1"/>
      <c r="BA231" s="1"/>
      <c r="BF231" s="1"/>
      <c r="BK231" s="1"/>
    </row>
    <row r="232" spans="8:63">
      <c r="H232" s="1"/>
      <c r="M232" s="1"/>
      <c r="R232" s="1"/>
      <c r="W232" s="1"/>
      <c r="AB232" s="1"/>
      <c r="AG232" s="1"/>
      <c r="AL232" s="1"/>
      <c r="AQ232" s="1"/>
      <c r="AV232" s="1"/>
      <c r="BA232" s="1"/>
      <c r="BF232" s="1"/>
      <c r="BK232" s="1"/>
    </row>
    <row r="233" spans="8:63">
      <c r="H233" s="1"/>
      <c r="M233" s="1"/>
      <c r="R233" s="1"/>
      <c r="W233" s="1"/>
      <c r="AB233" s="1"/>
      <c r="AG233" s="1"/>
      <c r="AL233" s="1"/>
      <c r="AQ233" s="1"/>
      <c r="AV233" s="1"/>
      <c r="BA233" s="1"/>
      <c r="BF233" s="1"/>
      <c r="BK233" s="1"/>
    </row>
    <row r="234" spans="8:63">
      <c r="H234" s="1"/>
      <c r="M234" s="1"/>
      <c r="R234" s="1"/>
      <c r="W234" s="1"/>
      <c r="AB234" s="1"/>
      <c r="AG234" s="1"/>
      <c r="AL234" s="1"/>
      <c r="AQ234" s="1"/>
      <c r="AV234" s="1"/>
      <c r="BA234" s="1"/>
      <c r="BF234" s="1"/>
      <c r="BK234" s="1"/>
    </row>
    <row r="235" spans="8:63">
      <c r="H235" s="1"/>
      <c r="M235" s="1"/>
      <c r="R235" s="1"/>
      <c r="W235" s="1"/>
      <c r="AB235" s="1"/>
      <c r="AG235" s="1"/>
      <c r="AL235" s="1"/>
      <c r="AQ235" s="1"/>
      <c r="AV235" s="1"/>
      <c r="BA235" s="1"/>
      <c r="BF235" s="1"/>
      <c r="BK235" s="1"/>
    </row>
    <row r="236" spans="8:63">
      <c r="H236" s="1"/>
      <c r="M236" s="1"/>
      <c r="R236" s="1"/>
      <c r="W236" s="1"/>
      <c r="AB236" s="1"/>
      <c r="AG236" s="1"/>
      <c r="AL236" s="1"/>
      <c r="AQ236" s="1"/>
      <c r="AV236" s="1"/>
      <c r="BA236" s="1"/>
      <c r="BF236" s="1"/>
      <c r="BK236" s="1"/>
    </row>
    <row r="237" spans="8:63">
      <c r="H237" s="1"/>
      <c r="M237" s="1"/>
      <c r="R237" s="1"/>
      <c r="W237" s="1"/>
      <c r="AB237" s="1"/>
      <c r="AG237" s="1"/>
      <c r="AL237" s="1"/>
      <c r="AQ237" s="1"/>
      <c r="AV237" s="1"/>
      <c r="BA237" s="1"/>
      <c r="BF237" s="1"/>
      <c r="BK237" s="1"/>
    </row>
    <row r="238" spans="8:63">
      <c r="H238" s="1"/>
      <c r="M238" s="1"/>
      <c r="R238" s="1"/>
      <c r="W238" s="1"/>
      <c r="AB238" s="1"/>
      <c r="AG238" s="1"/>
      <c r="AL238" s="1"/>
      <c r="AQ238" s="1"/>
      <c r="AV238" s="1"/>
      <c r="BA238" s="1"/>
      <c r="BF238" s="1"/>
      <c r="BK238" s="1"/>
    </row>
    <row r="239" spans="8:63">
      <c r="H239" s="1"/>
      <c r="M239" s="1"/>
      <c r="R239" s="1"/>
      <c r="W239" s="1"/>
      <c r="AB239" s="1"/>
      <c r="AG239" s="1"/>
      <c r="AL239" s="1"/>
      <c r="AQ239" s="1"/>
      <c r="AV239" s="1"/>
      <c r="BA239" s="1"/>
      <c r="BF239" s="1"/>
      <c r="BK239" s="1"/>
    </row>
    <row r="240" spans="8:63">
      <c r="H240" s="1"/>
      <c r="M240" s="1"/>
      <c r="R240" s="1"/>
      <c r="W240" s="1"/>
      <c r="AB240" s="1"/>
      <c r="AG240" s="1"/>
      <c r="AL240" s="1"/>
      <c r="AQ240" s="1"/>
      <c r="AV240" s="1"/>
      <c r="BA240" s="1"/>
      <c r="BF240" s="1"/>
      <c r="BK240" s="1"/>
    </row>
    <row r="241" spans="8:63">
      <c r="H241" s="1"/>
      <c r="M241" s="1"/>
      <c r="R241" s="1"/>
      <c r="W241" s="1"/>
      <c r="AB241" s="1"/>
      <c r="AG241" s="1"/>
      <c r="AL241" s="1"/>
      <c r="AQ241" s="1"/>
      <c r="AV241" s="1"/>
      <c r="BA241" s="1"/>
      <c r="BF241" s="1"/>
      <c r="BK241" s="1"/>
    </row>
    <row r="242" spans="8:63">
      <c r="H242" s="1"/>
      <c r="M242" s="1"/>
      <c r="R242" s="1"/>
      <c r="W242" s="1"/>
      <c r="AB242" s="1"/>
      <c r="AG242" s="1"/>
      <c r="AL242" s="1"/>
      <c r="AQ242" s="1"/>
      <c r="AV242" s="1"/>
      <c r="BA242" s="1"/>
      <c r="BF242" s="1"/>
      <c r="BK242" s="1"/>
    </row>
    <row r="243" spans="8:63">
      <c r="H243" s="1"/>
      <c r="M243" s="1"/>
      <c r="R243" s="1"/>
      <c r="W243" s="1"/>
      <c r="AB243" s="1"/>
      <c r="AG243" s="1"/>
      <c r="AL243" s="1"/>
      <c r="AQ243" s="1"/>
      <c r="AV243" s="1"/>
      <c r="BA243" s="1"/>
      <c r="BF243" s="1"/>
      <c r="BK243" s="1"/>
    </row>
    <row r="244" spans="8:63">
      <c r="H244" s="1"/>
      <c r="M244" s="1"/>
      <c r="R244" s="1"/>
      <c r="W244" s="1"/>
      <c r="AB244" s="1"/>
      <c r="AG244" s="1"/>
      <c r="AL244" s="1"/>
      <c r="AQ244" s="1"/>
      <c r="AV244" s="1"/>
      <c r="BA244" s="1"/>
      <c r="BF244" s="1"/>
      <c r="BK244" s="1"/>
    </row>
    <row r="245" spans="8:63">
      <c r="H245" s="1"/>
      <c r="M245" s="1"/>
      <c r="R245" s="1"/>
      <c r="W245" s="1"/>
      <c r="AB245" s="1"/>
      <c r="AG245" s="1"/>
      <c r="AL245" s="1"/>
      <c r="AQ245" s="1"/>
      <c r="AV245" s="1"/>
      <c r="BA245" s="1"/>
      <c r="BF245" s="1"/>
      <c r="BK245" s="1"/>
    </row>
    <row r="246" spans="8:63">
      <c r="H246" s="1"/>
      <c r="M246" s="1"/>
      <c r="R246" s="1"/>
      <c r="W246" s="1"/>
      <c r="AB246" s="1"/>
      <c r="AG246" s="1"/>
      <c r="AL246" s="1"/>
      <c r="AQ246" s="1"/>
      <c r="AV246" s="1"/>
      <c r="BA246" s="1"/>
      <c r="BF246" s="1"/>
      <c r="BK246" s="1"/>
    </row>
  </sheetData>
  <mergeCells count="25">
    <mergeCell ref="D13:Q13"/>
    <mergeCell ref="S13:AF13"/>
    <mergeCell ref="AH13:AU13"/>
    <mergeCell ref="E52:AA52"/>
    <mergeCell ref="E53:AA53"/>
    <mergeCell ref="F117:G117"/>
    <mergeCell ref="K117:L117"/>
    <mergeCell ref="P117:Q117"/>
    <mergeCell ref="Z117:AA117"/>
    <mergeCell ref="AE117:AF117"/>
    <mergeCell ref="AJ117:AK117"/>
    <mergeCell ref="AO117:AP117"/>
    <mergeCell ref="AT117:AU117"/>
    <mergeCell ref="BD117:BE117"/>
    <mergeCell ref="BI117:BJ117"/>
    <mergeCell ref="F127:G127"/>
    <mergeCell ref="K127:L127"/>
    <mergeCell ref="P127:Q127"/>
    <mergeCell ref="Z127:AA127"/>
    <mergeCell ref="AE127:AF127"/>
    <mergeCell ref="AJ127:AK127"/>
    <mergeCell ref="AO127:AP127"/>
    <mergeCell ref="AT127:AU127"/>
    <mergeCell ref="BD127:BE127"/>
    <mergeCell ref="BI127:BJ127"/>
  </mergeCells>
  <pageMargins left="0.25" right="0.25" top="0.75" bottom="0.75" header="0.3" footer="0.3"/>
  <pageSetup paperSize="1" scale="3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GZCL训练法的一些基本讲解</vt:lpstr>
      <vt:lpstr>UHF5周计划</vt:lpstr>
      <vt:lpstr>又黑又壮2.0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42054</cp:lastModifiedBy>
  <dcterms:created xsi:type="dcterms:W3CDTF">2015-06-05T18:17:00Z</dcterms:created>
  <dcterms:modified xsi:type="dcterms:W3CDTF">2025-12-25T06:37:35Z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6171A1908F0FD47FC8530F69A3A28021_33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